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ylan\Desktop\Info Systems Management\"/>
    </mc:Choice>
  </mc:AlternateContent>
  <bookViews>
    <workbookView xWindow="0" yWindow="0" windowWidth="21600" windowHeight="9970"/>
  </bookViews>
  <sheets>
    <sheet name="Database" sheetId="1" r:id="rId1"/>
    <sheet name="Queries" sheetId="10" r:id="rId2"/>
  </sheets>
  <definedNames>
    <definedName name="_xlnm._FilterDatabase" localSheetId="0" hidden="1">Database!$A$7:$H$61</definedName>
  </definedNames>
  <calcPr calcId="171027"/>
</workbook>
</file>

<file path=xl/calcChain.xml><?xml version="1.0" encoding="utf-8"?>
<calcChain xmlns="http://schemas.openxmlformats.org/spreadsheetml/2006/main">
  <c r="B18" i="10" l="1"/>
  <c r="L7" i="1" l="1"/>
  <c r="R12" i="1" l="1"/>
  <c r="A62" i="1"/>
  <c r="I52" i="1"/>
  <c r="I9" i="1" l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J8" i="1"/>
  <c r="I8" i="1"/>
  <c r="A5" i="1"/>
  <c r="B6" i="10" l="1"/>
</calcChain>
</file>

<file path=xl/sharedStrings.xml><?xml version="1.0" encoding="utf-8"?>
<sst xmlns="http://schemas.openxmlformats.org/spreadsheetml/2006/main" count="269" uniqueCount="141">
  <si>
    <t>West Coast Sales Personnel List</t>
  </si>
  <si>
    <t>Emp ID</t>
  </si>
  <si>
    <t>Last Name</t>
  </si>
  <si>
    <t>First Name</t>
  </si>
  <si>
    <t>Department</t>
  </si>
  <si>
    <t>Division</t>
  </si>
  <si>
    <t>Salary</t>
  </si>
  <si>
    <t>Start Date</t>
  </si>
  <si>
    <t>Birth Date</t>
  </si>
  <si>
    <t>Age</t>
  </si>
  <si>
    <t>Years In Service</t>
  </si>
  <si>
    <t>Franklin</t>
  </si>
  <si>
    <t>Larry</t>
  </si>
  <si>
    <t>Accounting</t>
  </si>
  <si>
    <t>Copier</t>
  </si>
  <si>
    <t>Petry</t>
  </si>
  <si>
    <t>Robin</t>
  </si>
  <si>
    <t>Engineering</t>
  </si>
  <si>
    <t>Printer</t>
  </si>
  <si>
    <t>Asonte</t>
  </si>
  <si>
    <t>Toni</t>
  </si>
  <si>
    <t>Fax</t>
  </si>
  <si>
    <t>Dorfberg</t>
  </si>
  <si>
    <t>Jeremy</t>
  </si>
  <si>
    <t>Berwick</t>
  </si>
  <si>
    <t>Sam</t>
  </si>
  <si>
    <t>Marketing</t>
  </si>
  <si>
    <t>Mueller</t>
  </si>
  <si>
    <t>Ursula</t>
  </si>
  <si>
    <t>Aruda</t>
  </si>
  <si>
    <t>Felice</t>
  </si>
  <si>
    <t>Admin.</t>
  </si>
  <si>
    <t>Wells</t>
  </si>
  <si>
    <t>Jason</t>
  </si>
  <si>
    <t>Kane</t>
  </si>
  <si>
    <t>Sheryl</t>
  </si>
  <si>
    <t>Art</t>
  </si>
  <si>
    <t>Corwick</t>
  </si>
  <si>
    <t>Rob</t>
  </si>
  <si>
    <t>Lin</t>
  </si>
  <si>
    <t>Michael</t>
  </si>
  <si>
    <t>Al-Sabah</t>
  </si>
  <si>
    <t>Daoud</t>
  </si>
  <si>
    <t>Martinez</t>
  </si>
  <si>
    <t>Sara</t>
  </si>
  <si>
    <t>Miller</t>
  </si>
  <si>
    <t>Janet</t>
  </si>
  <si>
    <t>Levine</t>
  </si>
  <si>
    <t>Eric</t>
  </si>
  <si>
    <t>R and D</t>
  </si>
  <si>
    <t>Able</t>
  </si>
  <si>
    <t>Aaron</t>
  </si>
  <si>
    <t>Barton</t>
  </si>
  <si>
    <t>Eileen</t>
  </si>
  <si>
    <t>Goldberg</t>
  </si>
  <si>
    <t>Malcolm</t>
  </si>
  <si>
    <t>Lampstone</t>
  </si>
  <si>
    <t>Pete</t>
  </si>
  <si>
    <t>Stewart</t>
  </si>
  <si>
    <t>Iain</t>
  </si>
  <si>
    <t>Smith</t>
  </si>
  <si>
    <t>Howard</t>
  </si>
  <si>
    <t>Maguire</t>
  </si>
  <si>
    <t>Mollie</t>
  </si>
  <si>
    <t>Kellerman</t>
  </si>
  <si>
    <t>Tommie</t>
  </si>
  <si>
    <t>Silverberg</t>
  </si>
  <si>
    <t>Jay</t>
  </si>
  <si>
    <t>Albert</t>
  </si>
  <si>
    <t>Maxine</t>
  </si>
  <si>
    <t>Lempert</t>
  </si>
  <si>
    <t>Alexandra</t>
  </si>
  <si>
    <t>Cooper</t>
  </si>
  <si>
    <t>Linda</t>
  </si>
  <si>
    <t>Richards</t>
  </si>
  <si>
    <t>Phillip</t>
  </si>
  <si>
    <t>Henders</t>
  </si>
  <si>
    <t>Mark</t>
  </si>
  <si>
    <t>Fontaine</t>
  </si>
  <si>
    <t>Jean</t>
  </si>
  <si>
    <t>Plant</t>
  </si>
  <si>
    <t>Allen</t>
  </si>
  <si>
    <t>Kris</t>
  </si>
  <si>
    <t>Bates</t>
  </si>
  <si>
    <t>Lisa</t>
  </si>
  <si>
    <t>Alstain</t>
  </si>
  <si>
    <t>Isolde</t>
  </si>
  <si>
    <t>Davison</t>
  </si>
  <si>
    <t>Karen</t>
  </si>
  <si>
    <t>Szcznyck</t>
  </si>
  <si>
    <t>Tadeuz</t>
  </si>
  <si>
    <t>Simpson</t>
  </si>
  <si>
    <t>Sandrae</t>
  </si>
  <si>
    <t>Sindole</t>
  </si>
  <si>
    <t>Randy</t>
  </si>
  <si>
    <t>Chu</t>
  </si>
  <si>
    <t>Steven</t>
  </si>
  <si>
    <t>Sargent</t>
  </si>
  <si>
    <t>Evelyn</t>
  </si>
  <si>
    <t>Tercan</t>
  </si>
  <si>
    <t>Robert</t>
  </si>
  <si>
    <t>Kaneko</t>
  </si>
  <si>
    <t>Midori</t>
  </si>
  <si>
    <t>Selznick</t>
  </si>
  <si>
    <t>Anna</t>
  </si>
  <si>
    <t>Boughton</t>
  </si>
  <si>
    <t>Frank</t>
  </si>
  <si>
    <t>Gorton</t>
  </si>
  <si>
    <t>Hazel</t>
  </si>
  <si>
    <t>Melendez</t>
  </si>
  <si>
    <t>Jaime</t>
  </si>
  <si>
    <t>Preston</t>
  </si>
  <si>
    <t>Liza</t>
  </si>
  <si>
    <t>Cash</t>
  </si>
  <si>
    <t>Mary</t>
  </si>
  <si>
    <t>Ellen</t>
  </si>
  <si>
    <t>Vuanuo</t>
  </si>
  <si>
    <t>Tuome</t>
  </si>
  <si>
    <t>Cane</t>
  </si>
  <si>
    <t>Nate</t>
  </si>
  <si>
    <t>Rose</t>
  </si>
  <si>
    <t>Bell</t>
  </si>
  <si>
    <t>Tom</t>
  </si>
  <si>
    <t>Quan</t>
  </si>
  <si>
    <t>Q1</t>
  </si>
  <si>
    <t>Q2</t>
  </si>
  <si>
    <t>Q6</t>
  </si>
  <si>
    <t>Q7</t>
  </si>
  <si>
    <t>New Salary 1</t>
  </si>
  <si>
    <t>New Salary 2</t>
  </si>
  <si>
    <t>Birth Month</t>
  </si>
  <si>
    <t>Q8</t>
  </si>
  <si>
    <t>Create Q_1 Macro button here.</t>
  </si>
  <si>
    <t>Create Q_2 Macro button here.</t>
  </si>
  <si>
    <t>Macro Questions Criteria</t>
  </si>
  <si>
    <t>BUS 308 Macro Individual Project</t>
  </si>
  <si>
    <t xml:space="preserve">Create Macro buttons below this row.  Label the button as Q_1, Q_2 etc. </t>
  </si>
  <si>
    <t>F12-01</t>
  </si>
  <si>
    <t>&gt;45000</t>
  </si>
  <si>
    <t>accounting</t>
  </si>
  <si>
    <t>&gt;2/2/1995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</si>
</sst>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$&quot;#,##0_);[Red]\(&quot;$&quot;#,##0\)"/>
    <numFmt numFmtId="8" formatCode="&quot;$&quot;#,##0.00_);[Red]\(&quot;$&quot;#,##0.00\)"/>
    <numFmt numFmtId="164" formatCode="0.0"/>
    <numFmt numFmtId="165" formatCode="&quot;$&quot;#,##0.00"/>
  </numFmts>
  <fonts count="14" x14ac:knownFonts="1">
    <font>
      <sz val="10"/>
      <name val="MS Sans Serif"/>
    </font>
    <font>
      <b/>
      <sz val="10"/>
      <name val="MS Sans Serif"/>
      <family val="2"/>
    </font>
    <font>
      <sz val="10"/>
      <name val="MS Sans Serif"/>
      <family val="2"/>
    </font>
    <font>
      <b/>
      <sz val="8"/>
      <name val="MS Sans Serif"/>
      <family val="2"/>
    </font>
    <font>
      <sz val="8"/>
      <name val="MS Sans Serif"/>
      <family val="2"/>
    </font>
    <font>
      <b/>
      <sz val="8"/>
      <color indexed="9"/>
      <name val="MS Sans Serif"/>
      <family val="2"/>
    </font>
    <font>
      <b/>
      <sz val="13.5"/>
      <name val="MS Sans Serif"/>
      <family val="2"/>
    </font>
    <font>
      <sz val="10"/>
      <color theme="0"/>
      <name val="MS Sans Serif"/>
      <family val="2"/>
    </font>
    <font>
      <sz val="10"/>
      <name val="MS Sans Serif"/>
    </font>
    <font>
      <sz val="10"/>
      <color rgb="FF000000"/>
      <name val="MS Sans Serif"/>
    </font>
    <font>
      <b/>
      <sz val="12"/>
      <name val="MS Sans Serif"/>
      <family val="2"/>
    </font>
    <font>
      <b/>
      <sz val="14"/>
      <name val="Calibri"/>
      <family val="2"/>
    </font>
    <font>
      <sz val="10"/>
      <color indexed="12"/>
      <name val="MS Sans Serif"/>
      <family val="2"/>
    </font>
    <font>
      <sz val="10"/>
      <color indexed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18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6"/>
        <bgColor indexed="24"/>
      </patternFill>
    </fill>
  </fills>
  <borders count="5">
    <border>
      <left/>
      <right/>
      <top/>
      <bottom/>
      <diagonal/>
    </border>
    <border>
      <left style="thin">
        <color indexed="24"/>
      </left>
      <right/>
      <top style="thin">
        <color indexed="24"/>
      </top>
      <bottom style="thin">
        <color indexed="24"/>
      </bottom>
      <diagonal/>
    </border>
    <border>
      <left/>
      <right/>
      <top style="thin">
        <color indexed="24"/>
      </top>
      <bottom style="thin">
        <color indexed="24"/>
      </bottom>
      <diagonal/>
    </border>
    <border>
      <left/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8" fontId="2" fillId="0" borderId="0" applyFont="0" applyFill="0" applyBorder="0" applyAlignment="0" applyProtection="0"/>
    <xf numFmtId="0" fontId="1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46">
    <xf numFmtId="0" fontId="0" fillId="0" borderId="0" xfId="0"/>
    <xf numFmtId="0" fontId="4" fillId="0" borderId="0" xfId="0" applyFont="1"/>
    <xf numFmtId="6" fontId="4" fillId="0" borderId="0" xfId="1" applyNumberFormat="1" applyFont="1"/>
    <xf numFmtId="14" fontId="4" fillId="0" borderId="0" xfId="0" applyNumberFormat="1" applyFont="1"/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Border="1"/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4" xfId="0" applyFill="1" applyBorder="1"/>
    <xf numFmtId="0" fontId="5" fillId="2" borderId="1" xfId="2" applyFont="1" applyFill="1" applyBorder="1" applyAlignment="1">
      <alignment horizontal="center" wrapText="1"/>
    </xf>
    <xf numFmtId="0" fontId="5" fillId="2" borderId="3" xfId="2" applyFont="1" applyFill="1" applyBorder="1" applyAlignment="1">
      <alignment horizontal="center" wrapText="1"/>
    </xf>
    <xf numFmtId="0" fontId="5" fillId="4" borderId="3" xfId="2" applyFont="1" applyFill="1" applyBorder="1" applyAlignment="1">
      <alignment horizont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7" fillId="0" borderId="0" xfId="0" applyFont="1"/>
    <xf numFmtId="0" fontId="5" fillId="2" borderId="2" xfId="2" applyFont="1" applyFill="1" applyBorder="1" applyAlignment="1">
      <alignment horizontal="left" wrapText="1"/>
    </xf>
    <xf numFmtId="6" fontId="5" fillId="2" borderId="2" xfId="1" applyNumberFormat="1" applyFont="1" applyFill="1" applyBorder="1" applyAlignment="1">
      <alignment horizontal="right" wrapText="1"/>
    </xf>
    <xf numFmtId="14" fontId="5" fillId="2" borderId="2" xfId="2" applyNumberFormat="1" applyFont="1" applyFill="1" applyBorder="1" applyAlignment="1">
      <alignment horizontal="right" wrapText="1"/>
    </xf>
    <xf numFmtId="0" fontId="5" fillId="2" borderId="3" xfId="2" applyFont="1" applyFill="1" applyBorder="1" applyAlignment="1">
      <alignment horizontal="right" wrapText="1"/>
    </xf>
    <xf numFmtId="10" fontId="0" fillId="3" borderId="4" xfId="3" applyNumberFormat="1" applyFont="1" applyFill="1" applyBorder="1"/>
    <xf numFmtId="0" fontId="10" fillId="0" borderId="0" xfId="0" applyFont="1" applyAlignment="1">
      <alignment horizontal="left"/>
    </xf>
    <xf numFmtId="0" fontId="11" fillId="0" borderId="0" xfId="0" applyFont="1" applyFill="1" applyBorder="1"/>
    <xf numFmtId="0" fontId="3" fillId="2" borderId="1" xfId="2" applyFont="1" applyFill="1" applyBorder="1" applyAlignment="1">
      <alignment horizontal="center" wrapText="1"/>
    </xf>
    <xf numFmtId="0" fontId="3" fillId="2" borderId="2" xfId="2" applyFont="1" applyFill="1" applyBorder="1" applyAlignment="1">
      <alignment horizontal="center" wrapText="1"/>
    </xf>
    <xf numFmtId="6" fontId="3" fillId="2" borderId="2" xfId="1" applyNumberFormat="1" applyFont="1" applyFill="1" applyBorder="1" applyAlignment="1">
      <alignment horizontal="center" wrapText="1"/>
    </xf>
    <xf numFmtId="14" fontId="3" fillId="2" borderId="2" xfId="2" applyNumberFormat="1" applyFont="1" applyFill="1" applyBorder="1" applyAlignment="1">
      <alignment horizontal="center" wrapText="1"/>
    </xf>
    <xf numFmtId="0" fontId="3" fillId="2" borderId="3" xfId="2" applyFont="1" applyFill="1" applyBorder="1" applyAlignment="1">
      <alignment horizontal="center" wrapText="1"/>
    </xf>
    <xf numFmtId="0" fontId="3" fillId="4" borderId="3" xfId="2" applyFont="1" applyFill="1" applyBorder="1" applyAlignment="1">
      <alignment horizontal="center" wrapText="1"/>
    </xf>
    <xf numFmtId="0" fontId="2" fillId="0" borderId="0" xfId="0" applyFont="1"/>
    <xf numFmtId="0" fontId="12" fillId="0" borderId="0" xfId="0" applyFont="1"/>
    <xf numFmtId="0" fontId="13" fillId="0" borderId="0" xfId="0" applyFont="1"/>
    <xf numFmtId="14" fontId="2" fillId="0" borderId="0" xfId="0" applyNumberFormat="1" applyFont="1"/>
    <xf numFmtId="14" fontId="13" fillId="0" borderId="0" xfId="0" applyNumberFormat="1" applyFont="1"/>
    <xf numFmtId="14" fontId="12" fillId="0" borderId="0" xfId="0" applyNumberFormat="1" applyFont="1"/>
    <xf numFmtId="164" fontId="2" fillId="0" borderId="0" xfId="0" applyNumberFormat="1" applyFont="1"/>
    <xf numFmtId="164" fontId="13" fillId="0" borderId="0" xfId="0" applyNumberFormat="1" applyFont="1"/>
    <xf numFmtId="164" fontId="12" fillId="0" borderId="0" xfId="0" applyNumberFormat="1" applyFont="1"/>
    <xf numFmtId="165" fontId="2" fillId="0" borderId="0" xfId="0" applyNumberFormat="1" applyFont="1"/>
    <xf numFmtId="165" fontId="13" fillId="0" borderId="0" xfId="0" applyNumberFormat="1" applyFont="1"/>
    <xf numFmtId="165" fontId="12" fillId="0" borderId="0" xfId="0" applyNumberFormat="1" applyFont="1"/>
    <xf numFmtId="14" fontId="0" fillId="0" borderId="0" xfId="0" applyNumberFormat="1"/>
    <xf numFmtId="14" fontId="3" fillId="2" borderId="3" xfId="2" applyNumberFormat="1" applyFont="1" applyFill="1" applyBorder="1" applyAlignment="1">
      <alignment horizontal="center" wrapText="1"/>
    </xf>
  </cellXfs>
  <cellStyles count="4">
    <cellStyle name="Currency" xfId="1" builtinId="4"/>
    <cellStyle name="Heading" xfId="2"/>
    <cellStyle name="Normal" xfId="0" builtinId="0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66</xdr:row>
          <xdr:rowOff>12700</xdr:rowOff>
        </xdr:from>
        <xdr:to>
          <xdr:col>4</xdr:col>
          <xdr:colOff>0</xdr:colOff>
          <xdr:row>70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72</xdr:row>
          <xdr:rowOff>0</xdr:rowOff>
        </xdr:from>
        <xdr:to>
          <xdr:col>4</xdr:col>
          <xdr:colOff>19050</xdr:colOff>
          <xdr:row>75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77</xdr:row>
          <xdr:rowOff>12700</xdr:rowOff>
        </xdr:from>
        <xdr:to>
          <xdr:col>3</xdr:col>
          <xdr:colOff>781050</xdr:colOff>
          <xdr:row>80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81</xdr:row>
          <xdr:rowOff>152400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87</xdr:row>
          <xdr:rowOff>12700</xdr:rowOff>
        </xdr:from>
        <xdr:to>
          <xdr:col>3</xdr:col>
          <xdr:colOff>742950</xdr:colOff>
          <xdr:row>91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66</xdr:row>
          <xdr:rowOff>31750</xdr:rowOff>
        </xdr:from>
        <xdr:to>
          <xdr:col>7</xdr:col>
          <xdr:colOff>342900</xdr:colOff>
          <xdr:row>70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355600</xdr:colOff>
          <xdr:row>82</xdr:row>
          <xdr:rowOff>88900</xdr:rowOff>
        </xdr:from>
        <xdr:to>
          <xdr:col>7</xdr:col>
          <xdr:colOff>381000</xdr:colOff>
          <xdr:row>87</xdr:row>
          <xdr:rowOff>12700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77</xdr:row>
          <xdr:rowOff>31750</xdr:rowOff>
        </xdr:from>
        <xdr:to>
          <xdr:col>7</xdr:col>
          <xdr:colOff>393700</xdr:colOff>
          <xdr:row>81</xdr:row>
          <xdr:rowOff>114300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71</xdr:row>
          <xdr:rowOff>133350</xdr:rowOff>
        </xdr:from>
        <xdr:to>
          <xdr:col>7</xdr:col>
          <xdr:colOff>419100</xdr:colOff>
          <xdr:row>76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87</xdr:row>
          <xdr:rowOff>114300</xdr:rowOff>
        </xdr:from>
        <xdr:to>
          <xdr:col>7</xdr:col>
          <xdr:colOff>336550</xdr:colOff>
          <xdr:row>92</xdr:row>
          <xdr:rowOff>69850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527050</xdr:colOff>
          <xdr:row>68</xdr:row>
          <xdr:rowOff>95250</xdr:rowOff>
        </xdr:from>
        <xdr:to>
          <xdr:col>11</xdr:col>
          <xdr:colOff>679450</xdr:colOff>
          <xdr:row>71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Clear Formats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73</xdr:row>
          <xdr:rowOff>0</xdr:rowOff>
        </xdr:from>
        <xdr:to>
          <xdr:col>12</xdr:col>
          <xdr:colOff>165100</xdr:colOff>
          <xdr:row>77</xdr:row>
          <xdr:rowOff>19050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78</xdr:row>
          <xdr:rowOff>95250</xdr:rowOff>
        </xdr:from>
        <xdr:to>
          <xdr:col>12</xdr:col>
          <xdr:colOff>469900</xdr:colOff>
          <xdr:row>82</xdr:row>
          <xdr:rowOff>38100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original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11</xdr:row>
          <xdr:rowOff>31750</xdr:rowOff>
        </xdr:from>
        <xdr:to>
          <xdr:col>3</xdr:col>
          <xdr:colOff>0</xdr:colOff>
          <xdr:row>16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12700</xdr:rowOff>
        </xdr:from>
        <xdr:to>
          <xdr:col>2</xdr:col>
          <xdr:colOff>666750</xdr:colOff>
          <xdr:row>28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Q_2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4"/>
  <sheetViews>
    <sheetView tabSelected="1" topLeftCell="A45" workbookViewId="0">
      <selection activeCell="A63" sqref="A63"/>
    </sheetView>
  </sheetViews>
  <sheetFormatPr defaultColWidth="9.1796875" defaultRowHeight="10.75" x14ac:dyDescent="0.55000000000000004"/>
  <cols>
    <col min="1" max="1" width="9.7265625" style="8" customWidth="1"/>
    <col min="2" max="2" width="8.81640625" style="1" customWidth="1"/>
    <col min="3" max="3" width="9.7265625" style="1" customWidth="1"/>
    <col min="4" max="4" width="11.81640625" style="1" customWidth="1"/>
    <col min="5" max="5" width="9" style="1" customWidth="1"/>
    <col min="6" max="6" width="10.453125" style="2" customWidth="1"/>
    <col min="7" max="7" width="10" style="3" customWidth="1"/>
    <col min="8" max="8" width="11.26953125" style="3" customWidth="1"/>
    <col min="9" max="10" width="8.453125" style="1" customWidth="1"/>
    <col min="11" max="11" width="10.81640625" style="1" customWidth="1"/>
    <col min="12" max="12" width="10.54296875" style="1" customWidth="1"/>
    <col min="13" max="13" width="9.54296875" style="1" customWidth="1"/>
    <col min="14" max="16384" width="9.1796875" style="1"/>
  </cols>
  <sheetData>
    <row r="1" spans="1:28" ht="13" x14ac:dyDescent="0.6">
      <c r="A1" s="18" t="s">
        <v>137</v>
      </c>
    </row>
    <row r="2" spans="1:28" ht="15.75" x14ac:dyDescent="0.75">
      <c r="B2" s="24" t="s">
        <v>135</v>
      </c>
    </row>
    <row r="3" spans="1:28" x14ac:dyDescent="0.55000000000000004">
      <c r="B3" s="4"/>
      <c r="L3" s="7"/>
    </row>
    <row r="4" spans="1:28" ht="15.75" x14ac:dyDescent="0.75">
      <c r="A4" s="24" t="s">
        <v>0</v>
      </c>
      <c r="L4" s="32"/>
    </row>
    <row r="5" spans="1:28" ht="13" x14ac:dyDescent="0.6">
      <c r="A5" s="5">
        <f ca="1">TODAY()</f>
        <v>42837</v>
      </c>
      <c r="L5" s="32"/>
    </row>
    <row r="6" spans="1:28" ht="13" x14ac:dyDescent="0.6">
      <c r="A6" s="4"/>
      <c r="K6" s="9" t="s">
        <v>126</v>
      </c>
      <c r="L6" s="9" t="s">
        <v>127</v>
      </c>
      <c r="M6" s="9" t="s">
        <v>131</v>
      </c>
    </row>
    <row r="7" spans="1:28" s="6" customFormat="1" ht="21.5" x14ac:dyDescent="0.55000000000000004">
      <c r="A7" s="26" t="s">
        <v>1</v>
      </c>
      <c r="B7" s="27" t="s">
        <v>2</v>
      </c>
      <c r="C7" s="27" t="s">
        <v>3</v>
      </c>
      <c r="D7" s="27" t="s">
        <v>4</v>
      </c>
      <c r="E7" s="27" t="s">
        <v>5</v>
      </c>
      <c r="F7" s="28" t="s">
        <v>6</v>
      </c>
      <c r="G7" s="29" t="s">
        <v>7</v>
      </c>
      <c r="H7" s="45" t="s">
        <v>8</v>
      </c>
      <c r="I7" s="30" t="s">
        <v>9</v>
      </c>
      <c r="J7" s="30" t="s">
        <v>10</v>
      </c>
      <c r="K7" s="31" t="s">
        <v>128</v>
      </c>
      <c r="L7" s="31" t="e">
        <f>MONTH(G7)</f>
        <v>#VALUE!</v>
      </c>
      <c r="M7" s="31" t="s">
        <v>130</v>
      </c>
    </row>
    <row r="8" spans="1:28" ht="13" x14ac:dyDescent="0.6">
      <c r="A8" s="32">
        <v>1011</v>
      </c>
      <c r="B8" s="32" t="s">
        <v>107</v>
      </c>
      <c r="C8" s="32" t="s">
        <v>108</v>
      </c>
      <c r="D8" s="32" t="s">
        <v>13</v>
      </c>
      <c r="E8" s="32" t="s">
        <v>14</v>
      </c>
      <c r="F8" s="41">
        <v>27597.85</v>
      </c>
      <c r="G8" s="35">
        <v>36559</v>
      </c>
      <c r="H8" s="35">
        <v>23702</v>
      </c>
      <c r="I8" s="38">
        <f t="shared" ref="I8:I39" ca="1" si="0">(TODAY()-H8)/365</f>
        <v>52.424657534246577</v>
      </c>
      <c r="J8" s="38">
        <f t="shared" ref="J8:J39" ca="1" si="1">(TODAY()-G8)/365</f>
        <v>17.2</v>
      </c>
      <c r="K8" s="32"/>
      <c r="L8" s="32"/>
      <c r="M8" s="32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ht="13" x14ac:dyDescent="0.6">
      <c r="A9" s="34">
        <v>1012</v>
      </c>
      <c r="B9" s="34" t="s">
        <v>111</v>
      </c>
      <c r="C9" s="34" t="s">
        <v>112</v>
      </c>
      <c r="D9" s="34" t="s">
        <v>17</v>
      </c>
      <c r="E9" s="34" t="s">
        <v>18</v>
      </c>
      <c r="F9" s="42">
        <v>43394.15</v>
      </c>
      <c r="G9" s="36">
        <v>38743</v>
      </c>
      <c r="H9" s="36">
        <v>31018</v>
      </c>
      <c r="I9" s="39">
        <f t="shared" ca="1" si="0"/>
        <v>32.38082191780822</v>
      </c>
      <c r="J9" s="39">
        <f t="shared" ca="1" si="1"/>
        <v>11.216438356164383</v>
      </c>
      <c r="K9" s="34"/>
      <c r="L9" s="34"/>
      <c r="M9" s="34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ht="13" x14ac:dyDescent="0.6">
      <c r="A10" s="32">
        <v>1041</v>
      </c>
      <c r="B10" s="32" t="s">
        <v>99</v>
      </c>
      <c r="C10" s="32" t="s">
        <v>100</v>
      </c>
      <c r="D10" s="32" t="s">
        <v>49</v>
      </c>
      <c r="E10" s="32" t="s">
        <v>18</v>
      </c>
      <c r="F10" s="41">
        <v>28043.68</v>
      </c>
      <c r="G10" s="35">
        <v>37362</v>
      </c>
      <c r="H10" s="35">
        <v>24006</v>
      </c>
      <c r="I10" s="38">
        <f t="shared" ca="1" si="0"/>
        <v>51.591780821917808</v>
      </c>
      <c r="J10" s="38">
        <f t="shared" ca="1" si="1"/>
        <v>15</v>
      </c>
      <c r="K10" s="32"/>
      <c r="L10" s="32"/>
      <c r="M10" s="32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ht="13" x14ac:dyDescent="0.6">
      <c r="A11" s="34">
        <v>1054</v>
      </c>
      <c r="B11" s="34" t="s">
        <v>60</v>
      </c>
      <c r="C11" s="34" t="s">
        <v>61</v>
      </c>
      <c r="D11" s="34" t="s">
        <v>36</v>
      </c>
      <c r="E11" s="34" t="s">
        <v>14</v>
      </c>
      <c r="F11" s="42">
        <v>25176.06</v>
      </c>
      <c r="G11" s="36">
        <v>39919</v>
      </c>
      <c r="H11" s="36">
        <v>31998</v>
      </c>
      <c r="I11" s="39">
        <f t="shared" ca="1" si="0"/>
        <v>29.695890410958903</v>
      </c>
      <c r="J11" s="39">
        <f t="shared" ca="1" si="1"/>
        <v>7.9945205479452053</v>
      </c>
      <c r="K11" s="34"/>
      <c r="L11" s="34"/>
      <c r="M11" s="34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ht="13" x14ac:dyDescent="0.6">
      <c r="A12" s="32">
        <v>1055</v>
      </c>
      <c r="B12" s="32" t="s">
        <v>68</v>
      </c>
      <c r="C12" s="32" t="s">
        <v>69</v>
      </c>
      <c r="D12" s="32" t="s">
        <v>26</v>
      </c>
      <c r="E12" s="32" t="s">
        <v>14</v>
      </c>
      <c r="F12" s="41">
        <v>26040.560000000001</v>
      </c>
      <c r="G12" s="35">
        <v>36258</v>
      </c>
      <c r="H12" s="35">
        <v>24704</v>
      </c>
      <c r="I12" s="38">
        <f t="shared" ca="1" si="0"/>
        <v>49.679452054794524</v>
      </c>
      <c r="J12" s="38">
        <f t="shared" ca="1" si="1"/>
        <v>18.024657534246575</v>
      </c>
      <c r="K12" s="32"/>
      <c r="L12" s="32"/>
      <c r="M12" s="32"/>
      <c r="N12"/>
      <c r="O12"/>
      <c r="P12"/>
      <c r="Q12"/>
      <c r="R12">
        <f>MONTH(M12)</f>
        <v>1</v>
      </c>
      <c r="S12"/>
      <c r="T12"/>
      <c r="U12"/>
      <c r="V12"/>
      <c r="W12"/>
      <c r="X12"/>
      <c r="Y12"/>
      <c r="Z12"/>
      <c r="AA12"/>
      <c r="AB12"/>
    </row>
    <row r="13" spans="1:28" ht="13" x14ac:dyDescent="0.6">
      <c r="A13" s="32">
        <v>1075</v>
      </c>
      <c r="B13" s="32" t="s">
        <v>34</v>
      </c>
      <c r="C13" s="32" t="s">
        <v>35</v>
      </c>
      <c r="D13" s="32" t="s">
        <v>36</v>
      </c>
      <c r="E13" s="32" t="s">
        <v>18</v>
      </c>
      <c r="F13" s="41">
        <v>23239.439999999999</v>
      </c>
      <c r="G13" s="35">
        <v>38936</v>
      </c>
      <c r="H13" s="35">
        <v>29095</v>
      </c>
      <c r="I13" s="38">
        <f t="shared" ca="1" si="0"/>
        <v>37.649315068493152</v>
      </c>
      <c r="J13" s="38">
        <f t="shared" ca="1" si="1"/>
        <v>10.687671232876712</v>
      </c>
      <c r="K13" s="32"/>
      <c r="L13" s="32"/>
      <c r="M13" s="32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ht="13" x14ac:dyDescent="0.6">
      <c r="A14" s="32">
        <v>1152</v>
      </c>
      <c r="B14" s="32" t="s">
        <v>76</v>
      </c>
      <c r="C14" s="32" t="s">
        <v>77</v>
      </c>
      <c r="D14" s="32" t="s">
        <v>13</v>
      </c>
      <c r="E14" s="32" t="s">
        <v>18</v>
      </c>
      <c r="F14" s="41">
        <v>26646.2</v>
      </c>
      <c r="G14" s="35">
        <v>36546</v>
      </c>
      <c r="H14" s="35">
        <v>26229</v>
      </c>
      <c r="I14" s="38">
        <f t="shared" ca="1" si="0"/>
        <v>45.5013698630137</v>
      </c>
      <c r="J14" s="38">
        <f t="shared" ca="1" si="1"/>
        <v>17.235616438356164</v>
      </c>
      <c r="K14" s="32"/>
      <c r="L14" s="32"/>
      <c r="M14" s="32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ht="13" x14ac:dyDescent="0.6">
      <c r="A15" s="32">
        <v>1153</v>
      </c>
      <c r="B15" s="32" t="s">
        <v>80</v>
      </c>
      <c r="C15" s="32" t="s">
        <v>81</v>
      </c>
      <c r="D15" s="32" t="s">
        <v>13</v>
      </c>
      <c r="E15" s="32" t="s">
        <v>18</v>
      </c>
      <c r="F15" s="41">
        <v>28043.68</v>
      </c>
      <c r="G15" s="35">
        <v>39826</v>
      </c>
      <c r="H15" s="35">
        <v>23318</v>
      </c>
      <c r="I15" s="38">
        <f t="shared" ca="1" si="0"/>
        <v>53.476712328767121</v>
      </c>
      <c r="J15" s="38">
        <f t="shared" ca="1" si="1"/>
        <v>8.24931506849315</v>
      </c>
      <c r="K15" s="32"/>
      <c r="L15" s="32"/>
      <c r="M15" s="32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ht="13" x14ac:dyDescent="0.6">
      <c r="A16" s="34">
        <v>1167</v>
      </c>
      <c r="B16" s="34" t="s">
        <v>24</v>
      </c>
      <c r="C16" s="34" t="s">
        <v>25</v>
      </c>
      <c r="D16" s="34" t="s">
        <v>26</v>
      </c>
      <c r="E16" s="34" t="s">
        <v>14</v>
      </c>
      <c r="F16" s="42">
        <v>31913.88</v>
      </c>
      <c r="G16" s="36">
        <v>36999</v>
      </c>
      <c r="H16" s="36">
        <v>25839</v>
      </c>
      <c r="I16" s="39">
        <f t="shared" ca="1" si="0"/>
        <v>46.56986301369863</v>
      </c>
      <c r="J16" s="39">
        <f t="shared" ca="1" si="1"/>
        <v>15.994520547945205</v>
      </c>
      <c r="K16" s="34"/>
      <c r="L16" s="34"/>
      <c r="M16" s="34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ht="13" x14ac:dyDescent="0.6">
      <c r="A17" s="32">
        <v>1168</v>
      </c>
      <c r="B17" s="32" t="s">
        <v>19</v>
      </c>
      <c r="C17" s="32" t="s">
        <v>20</v>
      </c>
      <c r="D17" s="32" t="s">
        <v>17</v>
      </c>
      <c r="E17" s="32" t="s">
        <v>21</v>
      </c>
      <c r="F17" s="41">
        <v>63035.88</v>
      </c>
      <c r="G17" s="35">
        <v>36260</v>
      </c>
      <c r="H17" s="35">
        <v>25757</v>
      </c>
      <c r="I17" s="38">
        <f t="shared" ca="1" si="0"/>
        <v>46.794520547945204</v>
      </c>
      <c r="J17" s="38">
        <f t="shared" ca="1" si="1"/>
        <v>18.019178082191782</v>
      </c>
      <c r="K17" s="32"/>
      <c r="L17" s="32"/>
      <c r="M17" s="32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ht="13" x14ac:dyDescent="0.6">
      <c r="A18" s="32">
        <v>1169</v>
      </c>
      <c r="B18" s="32" t="s">
        <v>22</v>
      </c>
      <c r="C18" s="32" t="s">
        <v>23</v>
      </c>
      <c r="D18" s="32" t="s">
        <v>17</v>
      </c>
      <c r="E18" s="32" t="s">
        <v>14</v>
      </c>
      <c r="F18" s="41">
        <v>58002.05</v>
      </c>
      <c r="G18" s="35">
        <v>36081</v>
      </c>
      <c r="H18" s="35">
        <v>28683</v>
      </c>
      <c r="I18" s="38">
        <f t="shared" ca="1" si="0"/>
        <v>38.778082191780825</v>
      </c>
      <c r="J18" s="38">
        <f t="shared" ca="1" si="1"/>
        <v>18.509589041095889</v>
      </c>
      <c r="K18" s="32"/>
      <c r="L18" s="32"/>
      <c r="M18" s="32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ht="13" x14ac:dyDescent="0.6">
      <c r="A19" s="32">
        <v>1290</v>
      </c>
      <c r="B19" s="32" t="s">
        <v>72</v>
      </c>
      <c r="C19" s="32" t="s">
        <v>73</v>
      </c>
      <c r="D19" s="32" t="s">
        <v>31</v>
      </c>
      <c r="E19" s="32" t="s">
        <v>21</v>
      </c>
      <c r="F19" s="41">
        <v>26113.86</v>
      </c>
      <c r="G19" s="35">
        <v>38355</v>
      </c>
      <c r="H19" s="35">
        <v>24381</v>
      </c>
      <c r="I19" s="38">
        <f t="shared" ca="1" si="0"/>
        <v>50.564383561643837</v>
      </c>
      <c r="J19" s="38">
        <f t="shared" ca="1" si="1"/>
        <v>12.27945205479452</v>
      </c>
      <c r="K19" s="32"/>
      <c r="L19" s="32"/>
      <c r="M19" s="32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ht="13" x14ac:dyDescent="0.6">
      <c r="A20" s="34">
        <v>1299</v>
      </c>
      <c r="B20" s="34" t="s">
        <v>91</v>
      </c>
      <c r="C20" s="34" t="s">
        <v>92</v>
      </c>
      <c r="D20" s="34" t="s">
        <v>17</v>
      </c>
      <c r="E20" s="34" t="s">
        <v>14</v>
      </c>
      <c r="F20" s="42">
        <v>34854.199999999997</v>
      </c>
      <c r="G20" s="36">
        <v>38707</v>
      </c>
      <c r="H20" s="36">
        <v>31306</v>
      </c>
      <c r="I20" s="39">
        <f t="shared" ca="1" si="0"/>
        <v>31.591780821917808</v>
      </c>
      <c r="J20" s="39">
        <f t="shared" ca="1" si="1"/>
        <v>11.315068493150685</v>
      </c>
      <c r="K20" s="34"/>
      <c r="L20" s="34"/>
      <c r="M20" s="34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ht="13" x14ac:dyDescent="0.6">
      <c r="A21" s="32">
        <v>1300</v>
      </c>
      <c r="B21" s="32" t="s">
        <v>74</v>
      </c>
      <c r="C21" s="32" t="s">
        <v>75</v>
      </c>
      <c r="D21" s="32" t="s">
        <v>13</v>
      </c>
      <c r="E21" s="32" t="s">
        <v>18</v>
      </c>
      <c r="F21" s="41">
        <v>30451.68</v>
      </c>
      <c r="G21" s="35">
        <v>34316</v>
      </c>
      <c r="H21" s="35">
        <v>24009</v>
      </c>
      <c r="I21" s="38">
        <f t="shared" ca="1" si="0"/>
        <v>51.583561643835615</v>
      </c>
      <c r="J21" s="38">
        <f t="shared" ca="1" si="1"/>
        <v>23.345205479452055</v>
      </c>
      <c r="K21" s="32"/>
      <c r="L21" s="32"/>
      <c r="M21" s="32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ht="13" x14ac:dyDescent="0.6">
      <c r="A22" s="32">
        <v>1301</v>
      </c>
      <c r="B22" s="32" t="s">
        <v>93</v>
      </c>
      <c r="C22" s="32" t="s">
        <v>94</v>
      </c>
      <c r="D22" s="32" t="s">
        <v>26</v>
      </c>
      <c r="E22" s="32" t="s">
        <v>21</v>
      </c>
      <c r="F22" s="41">
        <v>27081.040000000001</v>
      </c>
      <c r="G22" s="35">
        <v>39666</v>
      </c>
      <c r="H22" s="35">
        <v>22457</v>
      </c>
      <c r="I22" s="38">
        <f t="shared" ca="1" si="0"/>
        <v>55.835616438356162</v>
      </c>
      <c r="J22" s="38">
        <f t="shared" ca="1" si="1"/>
        <v>8.6876712328767116</v>
      </c>
      <c r="K22" s="32"/>
      <c r="L22" s="32"/>
      <c r="M22" s="3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ht="13" x14ac:dyDescent="0.6">
      <c r="A23" s="32">
        <v>1310</v>
      </c>
      <c r="B23" s="32" t="s">
        <v>60</v>
      </c>
      <c r="C23" s="32" t="s">
        <v>115</v>
      </c>
      <c r="D23" s="32" t="s">
        <v>17</v>
      </c>
      <c r="E23" s="32" t="s">
        <v>21</v>
      </c>
      <c r="F23" s="41">
        <v>32410.85</v>
      </c>
      <c r="G23" s="35">
        <v>31689</v>
      </c>
      <c r="H23" s="35">
        <v>24048</v>
      </c>
      <c r="I23" s="38">
        <f t="shared" ca="1" si="0"/>
        <v>51.476712328767121</v>
      </c>
      <c r="J23" s="38">
        <f t="shared" ca="1" si="1"/>
        <v>30.542465753424658</v>
      </c>
      <c r="K23" s="32"/>
      <c r="L23" s="32"/>
      <c r="M23" s="32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ht="13" x14ac:dyDescent="0.6">
      <c r="A24" s="32">
        <v>1311</v>
      </c>
      <c r="B24" s="32" t="s">
        <v>118</v>
      </c>
      <c r="C24" s="32" t="s">
        <v>119</v>
      </c>
      <c r="D24" s="32" t="s">
        <v>26</v>
      </c>
      <c r="E24" s="32" t="s">
        <v>18</v>
      </c>
      <c r="F24" s="41">
        <v>43486.95</v>
      </c>
      <c r="G24" s="35">
        <v>37525</v>
      </c>
      <c r="H24" s="35">
        <v>20041</v>
      </c>
      <c r="I24" s="38">
        <f t="shared" ca="1" si="0"/>
        <v>62.454794520547942</v>
      </c>
      <c r="J24" s="38">
        <f t="shared" ca="1" si="1"/>
        <v>14.553424657534247</v>
      </c>
      <c r="K24" s="32"/>
      <c r="L24" s="32"/>
      <c r="M24" s="32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ht="13" x14ac:dyDescent="0.6">
      <c r="A25" s="32">
        <v>1329</v>
      </c>
      <c r="B25" s="32" t="s">
        <v>116</v>
      </c>
      <c r="C25" s="32" t="s">
        <v>117</v>
      </c>
      <c r="D25" s="32" t="s">
        <v>17</v>
      </c>
      <c r="E25" s="32" t="s">
        <v>18</v>
      </c>
      <c r="F25" s="41">
        <v>55410.85</v>
      </c>
      <c r="G25" s="35">
        <v>39866</v>
      </c>
      <c r="H25" s="35">
        <v>23503</v>
      </c>
      <c r="I25" s="38">
        <f t="shared" ca="1" si="0"/>
        <v>52.969863013698628</v>
      </c>
      <c r="J25" s="38">
        <f t="shared" ca="1" si="1"/>
        <v>8.1397260273972609</v>
      </c>
      <c r="K25" s="32"/>
      <c r="L25" s="32"/>
      <c r="M25" s="32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ht="13" x14ac:dyDescent="0.6">
      <c r="A26" s="32">
        <v>1330</v>
      </c>
      <c r="B26" s="32" t="s">
        <v>103</v>
      </c>
      <c r="C26" s="32" t="s">
        <v>104</v>
      </c>
      <c r="D26" s="32" t="s">
        <v>13</v>
      </c>
      <c r="E26" s="32" t="s">
        <v>14</v>
      </c>
      <c r="F26" s="41">
        <v>31539.24</v>
      </c>
      <c r="G26" s="35">
        <v>36205</v>
      </c>
      <c r="H26" s="35">
        <v>25104</v>
      </c>
      <c r="I26" s="38">
        <f t="shared" ca="1" si="0"/>
        <v>48.583561643835615</v>
      </c>
      <c r="J26" s="38">
        <f t="shared" ca="1" si="1"/>
        <v>18.169863013698631</v>
      </c>
      <c r="K26" s="32"/>
      <c r="L26" s="32"/>
      <c r="M26" s="32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ht="13" x14ac:dyDescent="0.6">
      <c r="A27" s="32">
        <v>1331</v>
      </c>
      <c r="B27" s="32" t="s">
        <v>113</v>
      </c>
      <c r="C27" s="32" t="s">
        <v>114</v>
      </c>
      <c r="D27" s="32" t="s">
        <v>17</v>
      </c>
      <c r="E27" s="32" t="s">
        <v>18</v>
      </c>
      <c r="F27" s="41">
        <v>49872.15</v>
      </c>
      <c r="G27" s="35">
        <v>36291</v>
      </c>
      <c r="H27" s="35">
        <v>23518</v>
      </c>
      <c r="I27" s="38">
        <f t="shared" ca="1" si="0"/>
        <v>52.92876712328767</v>
      </c>
      <c r="J27" s="38">
        <f t="shared" ca="1" si="1"/>
        <v>17.934246575342467</v>
      </c>
      <c r="K27" s="32"/>
      <c r="L27" s="32"/>
      <c r="M27" s="32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ht="13" x14ac:dyDescent="0.6">
      <c r="A28" s="32">
        <v>1333</v>
      </c>
      <c r="B28" s="32" t="s">
        <v>89</v>
      </c>
      <c r="C28" s="32" t="s">
        <v>90</v>
      </c>
      <c r="D28" s="32" t="s">
        <v>17</v>
      </c>
      <c r="E28" s="32" t="s">
        <v>14</v>
      </c>
      <c r="F28" s="41">
        <v>59362.2</v>
      </c>
      <c r="G28" s="35">
        <v>34805</v>
      </c>
      <c r="H28" s="35">
        <v>24022</v>
      </c>
      <c r="I28" s="38">
        <f t="shared" ca="1" si="0"/>
        <v>51.547945205479451</v>
      </c>
      <c r="J28" s="38">
        <f t="shared" ca="1" si="1"/>
        <v>22.005479452054793</v>
      </c>
      <c r="K28" s="32"/>
      <c r="L28" s="32"/>
      <c r="M28" s="32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ht="13" x14ac:dyDescent="0.6">
      <c r="A29" s="32">
        <v>1334</v>
      </c>
      <c r="B29" s="32" t="s">
        <v>101</v>
      </c>
      <c r="C29" s="32" t="s">
        <v>102</v>
      </c>
      <c r="D29" s="32" t="s">
        <v>49</v>
      </c>
      <c r="E29" s="32" t="s">
        <v>21</v>
      </c>
      <c r="F29" s="41">
        <v>28043.68</v>
      </c>
      <c r="G29" s="35">
        <v>35893</v>
      </c>
      <c r="H29" s="35">
        <v>24033</v>
      </c>
      <c r="I29" s="38">
        <f t="shared" ca="1" si="0"/>
        <v>51.517808219178079</v>
      </c>
      <c r="J29" s="38">
        <f t="shared" ca="1" si="1"/>
        <v>19.024657534246575</v>
      </c>
      <c r="K29" s="32"/>
      <c r="L29" s="32"/>
      <c r="M29" s="32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ht="13" x14ac:dyDescent="0.6">
      <c r="A30" s="33">
        <v>1426</v>
      </c>
      <c r="B30" s="33" t="s">
        <v>56</v>
      </c>
      <c r="C30" s="33" t="s">
        <v>57</v>
      </c>
      <c r="D30" s="33" t="s">
        <v>26</v>
      </c>
      <c r="E30" s="33" t="s">
        <v>21</v>
      </c>
      <c r="F30" s="43">
        <v>64689</v>
      </c>
      <c r="G30" s="37">
        <v>31298</v>
      </c>
      <c r="H30" s="37">
        <v>21451</v>
      </c>
      <c r="I30" s="40">
        <f t="shared" ca="1" si="0"/>
        <v>58.591780821917808</v>
      </c>
      <c r="J30" s="40">
        <f t="shared" ca="1" si="1"/>
        <v>31.613698630136987</v>
      </c>
      <c r="K30" s="33"/>
      <c r="L30" s="33"/>
      <c r="M30" s="33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ht="13" x14ac:dyDescent="0.6">
      <c r="A31" s="32">
        <v>1516</v>
      </c>
      <c r="B31" s="32" t="s">
        <v>121</v>
      </c>
      <c r="C31" s="32" t="s">
        <v>122</v>
      </c>
      <c r="D31" s="32" t="s">
        <v>13</v>
      </c>
      <c r="E31" s="32" t="s">
        <v>18</v>
      </c>
      <c r="F31" s="41">
        <v>28549.5</v>
      </c>
      <c r="G31" s="35">
        <v>38052</v>
      </c>
      <c r="H31" s="35">
        <v>23188</v>
      </c>
      <c r="I31" s="38">
        <f t="shared" ca="1" si="0"/>
        <v>53.832876712328769</v>
      </c>
      <c r="J31" s="38">
        <f t="shared" ca="1" si="1"/>
        <v>13.109589041095891</v>
      </c>
      <c r="K31" s="32"/>
      <c r="L31" s="32"/>
      <c r="M31" s="32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ht="13" x14ac:dyDescent="0.6">
      <c r="A32" s="32">
        <v>1517</v>
      </c>
      <c r="B32" s="32" t="s">
        <v>123</v>
      </c>
      <c r="C32" s="32" t="s">
        <v>88</v>
      </c>
      <c r="D32" s="32" t="s">
        <v>17</v>
      </c>
      <c r="E32" s="32" t="s">
        <v>18</v>
      </c>
      <c r="F32" s="41">
        <v>75589.600000000006</v>
      </c>
      <c r="G32" s="35">
        <v>32565</v>
      </c>
      <c r="H32" s="35">
        <v>23199</v>
      </c>
      <c r="I32" s="38">
        <f t="shared" ca="1" si="0"/>
        <v>53.802739726027397</v>
      </c>
      <c r="J32" s="38">
        <f t="shared" ca="1" si="1"/>
        <v>28.142465753424659</v>
      </c>
      <c r="K32" s="32"/>
      <c r="L32" s="32"/>
      <c r="M32" s="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ht="13" x14ac:dyDescent="0.6">
      <c r="A33" s="32">
        <v>1529</v>
      </c>
      <c r="B33" s="32" t="s">
        <v>64</v>
      </c>
      <c r="C33" s="32" t="s">
        <v>65</v>
      </c>
      <c r="D33" s="32" t="s">
        <v>17</v>
      </c>
      <c r="E33" s="32" t="s">
        <v>18</v>
      </c>
      <c r="F33" s="41">
        <v>45146.68</v>
      </c>
      <c r="G33" s="35">
        <v>39110</v>
      </c>
      <c r="H33" s="35">
        <v>26186</v>
      </c>
      <c r="I33" s="38">
        <f t="shared" ca="1" si="0"/>
        <v>45.61917808219178</v>
      </c>
      <c r="J33" s="38">
        <f t="shared" ca="1" si="1"/>
        <v>10.210958904109589</v>
      </c>
      <c r="K33" s="32"/>
      <c r="L33" s="32"/>
      <c r="M33" s="32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ht="13" x14ac:dyDescent="0.6">
      <c r="A34" s="32">
        <v>1530</v>
      </c>
      <c r="B34" s="32" t="s">
        <v>58</v>
      </c>
      <c r="C34" s="32" t="s">
        <v>59</v>
      </c>
      <c r="D34" s="32" t="s">
        <v>31</v>
      </c>
      <c r="E34" s="32" t="s">
        <v>18</v>
      </c>
      <c r="F34" s="41">
        <v>25146.68</v>
      </c>
      <c r="G34" s="35">
        <v>33258</v>
      </c>
      <c r="H34" s="35">
        <v>24487</v>
      </c>
      <c r="I34" s="38">
        <f t="shared" ca="1" si="0"/>
        <v>50.273972602739725</v>
      </c>
      <c r="J34" s="38">
        <f t="shared" ca="1" si="1"/>
        <v>26.243835616438357</v>
      </c>
      <c r="K34" s="32"/>
      <c r="L34" s="32"/>
      <c r="M34" s="32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ht="13" x14ac:dyDescent="0.6">
      <c r="A35" s="32">
        <v>1531</v>
      </c>
      <c r="B35" s="32" t="s">
        <v>70</v>
      </c>
      <c r="C35" s="32" t="s">
        <v>71</v>
      </c>
      <c r="D35" s="32" t="s">
        <v>49</v>
      </c>
      <c r="E35" s="32" t="s">
        <v>14</v>
      </c>
      <c r="F35" s="41">
        <v>41053.480000000003</v>
      </c>
      <c r="G35" s="35">
        <v>35196</v>
      </c>
      <c r="H35" s="35">
        <v>24491</v>
      </c>
      <c r="I35" s="38">
        <f t="shared" ca="1" si="0"/>
        <v>50.263013698630139</v>
      </c>
      <c r="J35" s="38">
        <f t="shared" ca="1" si="1"/>
        <v>20.934246575342467</v>
      </c>
      <c r="K35" s="32"/>
      <c r="L35" s="32"/>
      <c r="M35" s="32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ht="13" x14ac:dyDescent="0.6">
      <c r="A36" s="34">
        <v>1556</v>
      </c>
      <c r="B36" s="34" t="s">
        <v>87</v>
      </c>
      <c r="C36" s="34" t="s">
        <v>88</v>
      </c>
      <c r="D36" s="34" t="s">
        <v>17</v>
      </c>
      <c r="E36" s="34" t="s">
        <v>18</v>
      </c>
      <c r="F36" s="42">
        <v>29362.2</v>
      </c>
      <c r="G36" s="36">
        <v>39047</v>
      </c>
      <c r="H36" s="36">
        <v>32043</v>
      </c>
      <c r="I36" s="39">
        <f t="shared" ca="1" si="0"/>
        <v>29.572602739726026</v>
      </c>
      <c r="J36" s="39">
        <f t="shared" ca="1" si="1"/>
        <v>10.383561643835616</v>
      </c>
      <c r="K36" s="34"/>
      <c r="L36" s="34"/>
      <c r="M36" s="34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ht="13" x14ac:dyDescent="0.6">
      <c r="A37" s="34">
        <v>1557</v>
      </c>
      <c r="B37" s="34" t="s">
        <v>83</v>
      </c>
      <c r="C37" s="34" t="s">
        <v>84</v>
      </c>
      <c r="D37" s="34" t="s">
        <v>31</v>
      </c>
      <c r="E37" s="34" t="s">
        <v>14</v>
      </c>
      <c r="F37" s="42">
        <v>27081.040000000001</v>
      </c>
      <c r="G37" s="36">
        <v>40043</v>
      </c>
      <c r="H37" s="36">
        <v>32954</v>
      </c>
      <c r="I37" s="39">
        <f t="shared" ca="1" si="0"/>
        <v>27.076712328767123</v>
      </c>
      <c r="J37" s="39">
        <f t="shared" ca="1" si="1"/>
        <v>7.6547945205479451</v>
      </c>
      <c r="K37" s="34"/>
      <c r="L37" s="34"/>
      <c r="M37" s="34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ht="13" x14ac:dyDescent="0.6">
      <c r="A38" s="32">
        <v>1558</v>
      </c>
      <c r="B38" s="32" t="s">
        <v>97</v>
      </c>
      <c r="C38" s="32" t="s">
        <v>98</v>
      </c>
      <c r="D38" s="32" t="s">
        <v>26</v>
      </c>
      <c r="E38" s="32" t="s">
        <v>14</v>
      </c>
      <c r="F38" s="41">
        <v>41987.4</v>
      </c>
      <c r="G38" s="35">
        <v>38641</v>
      </c>
      <c r="H38" s="35">
        <v>22915</v>
      </c>
      <c r="I38" s="38">
        <f t="shared" ca="1" si="0"/>
        <v>54.580821917808223</v>
      </c>
      <c r="J38" s="38">
        <f t="shared" ca="1" si="1"/>
        <v>11.495890410958904</v>
      </c>
      <c r="K38" s="32"/>
      <c r="L38" s="32"/>
      <c r="M38" s="32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ht="13" x14ac:dyDescent="0.6">
      <c r="A39" s="34">
        <v>1657</v>
      </c>
      <c r="B39" s="34" t="s">
        <v>32</v>
      </c>
      <c r="C39" s="34" t="s">
        <v>120</v>
      </c>
      <c r="D39" s="34" t="s">
        <v>13</v>
      </c>
      <c r="E39" s="34" t="s">
        <v>18</v>
      </c>
      <c r="F39" s="42">
        <v>32626.799999999999</v>
      </c>
      <c r="G39" s="36">
        <v>37596</v>
      </c>
      <c r="H39" s="36">
        <v>30599</v>
      </c>
      <c r="I39" s="39">
        <f t="shared" ca="1" si="0"/>
        <v>33.528767123287672</v>
      </c>
      <c r="J39" s="39">
        <f t="shared" ca="1" si="1"/>
        <v>14.358904109589041</v>
      </c>
      <c r="K39" s="34"/>
      <c r="L39" s="34"/>
      <c r="M39" s="34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ht="13" x14ac:dyDescent="0.6">
      <c r="A40" s="32">
        <v>1674</v>
      </c>
      <c r="B40" s="32" t="s">
        <v>105</v>
      </c>
      <c r="C40" s="32" t="s">
        <v>106</v>
      </c>
      <c r="D40" s="32" t="s">
        <v>13</v>
      </c>
      <c r="E40" s="32" t="s">
        <v>21</v>
      </c>
      <c r="F40" s="41">
        <v>27597.85</v>
      </c>
      <c r="G40" s="35">
        <v>38801</v>
      </c>
      <c r="H40" s="35">
        <v>29237</v>
      </c>
      <c r="I40" s="38">
        <f t="shared" ref="I40:I61" ca="1" si="2">(TODAY()-H40)/365</f>
        <v>37.260273972602739</v>
      </c>
      <c r="J40" s="38">
        <f t="shared" ref="J40:J61" ca="1" si="3">(TODAY()-G40)/365</f>
        <v>11.057534246575342</v>
      </c>
      <c r="K40" s="32"/>
      <c r="L40" s="32"/>
      <c r="M40" s="32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ht="13" x14ac:dyDescent="0.6">
      <c r="A41" s="32">
        <v>1675</v>
      </c>
      <c r="B41" s="32" t="s">
        <v>109</v>
      </c>
      <c r="C41" s="32" t="s">
        <v>110</v>
      </c>
      <c r="D41" s="32" t="s">
        <v>13</v>
      </c>
      <c r="E41" s="32" t="s">
        <v>21</v>
      </c>
      <c r="F41" s="41">
        <v>29045.24</v>
      </c>
      <c r="G41" s="35">
        <v>35141</v>
      </c>
      <c r="H41" s="35">
        <v>23404</v>
      </c>
      <c r="I41" s="38">
        <f t="shared" ca="1" si="2"/>
        <v>53.241095890410961</v>
      </c>
      <c r="J41" s="38">
        <f t="shared" ca="1" si="3"/>
        <v>21.084931506849315</v>
      </c>
      <c r="K41" s="32"/>
      <c r="L41" s="32"/>
      <c r="M41" s="32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ht="13" x14ac:dyDescent="0.6">
      <c r="A42" s="32">
        <v>1675</v>
      </c>
      <c r="B42" s="32" t="s">
        <v>45</v>
      </c>
      <c r="C42" s="32" t="s">
        <v>46</v>
      </c>
      <c r="D42" s="32" t="s">
        <v>26</v>
      </c>
      <c r="E42" s="32" t="s">
        <v>14</v>
      </c>
      <c r="F42" s="41">
        <v>33301.440000000002</v>
      </c>
      <c r="G42" s="35">
        <v>36094</v>
      </c>
      <c r="H42" s="35">
        <v>25447</v>
      </c>
      <c r="I42" s="38">
        <f t="shared" ca="1" si="2"/>
        <v>47.643835616438359</v>
      </c>
      <c r="J42" s="38">
        <f t="shared" ca="1" si="3"/>
        <v>18.473972602739725</v>
      </c>
      <c r="K42" s="32"/>
      <c r="L42" s="32"/>
      <c r="M42" s="3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ht="13" x14ac:dyDescent="0.6">
      <c r="A43" s="34">
        <v>1676</v>
      </c>
      <c r="B43" s="34" t="s">
        <v>32</v>
      </c>
      <c r="C43" s="34" t="s">
        <v>33</v>
      </c>
      <c r="D43" s="34" t="s">
        <v>31</v>
      </c>
      <c r="E43" s="34" t="s">
        <v>14</v>
      </c>
      <c r="F43" s="42">
        <v>23212.32</v>
      </c>
      <c r="G43" s="36">
        <v>37182</v>
      </c>
      <c r="H43" s="36">
        <v>30206</v>
      </c>
      <c r="I43" s="39">
        <f t="shared" ca="1" si="2"/>
        <v>34.605479452054794</v>
      </c>
      <c r="J43" s="39">
        <f t="shared" ca="1" si="3"/>
        <v>15.493150684931507</v>
      </c>
      <c r="K43" s="34"/>
      <c r="L43" s="34"/>
      <c r="M43" s="34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ht="13" x14ac:dyDescent="0.6">
      <c r="A44" s="34">
        <v>1677</v>
      </c>
      <c r="B44" s="34" t="s">
        <v>47</v>
      </c>
      <c r="C44" s="34" t="s">
        <v>48</v>
      </c>
      <c r="D44" s="34" t="s">
        <v>49</v>
      </c>
      <c r="E44" s="34" t="s">
        <v>21</v>
      </c>
      <c r="F44" s="42">
        <v>37895.519999999997</v>
      </c>
      <c r="G44" s="36">
        <v>39392</v>
      </c>
      <c r="H44" s="36">
        <v>32767</v>
      </c>
      <c r="I44" s="39">
        <f t="shared" ca="1" si="2"/>
        <v>27.589041095890412</v>
      </c>
      <c r="J44" s="39">
        <f t="shared" ca="1" si="3"/>
        <v>9.4383561643835616</v>
      </c>
      <c r="K44" s="34"/>
      <c r="L44" s="34"/>
      <c r="M44" s="3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ht="13" x14ac:dyDescent="0.6">
      <c r="A45" s="32">
        <v>1723</v>
      </c>
      <c r="B45" s="32" t="s">
        <v>85</v>
      </c>
      <c r="C45" s="32" t="s">
        <v>86</v>
      </c>
      <c r="D45" s="32" t="s">
        <v>17</v>
      </c>
      <c r="E45" s="32" t="s">
        <v>21</v>
      </c>
      <c r="F45" s="41">
        <v>69362.2</v>
      </c>
      <c r="G45" s="35">
        <v>36013</v>
      </c>
      <c r="H45" s="35">
        <v>24008</v>
      </c>
      <c r="I45" s="38">
        <f t="shared" ca="1" si="2"/>
        <v>51.586301369863016</v>
      </c>
      <c r="J45" s="38">
        <f t="shared" ca="1" si="3"/>
        <v>18.695890410958903</v>
      </c>
      <c r="K45" s="32"/>
      <c r="L45" s="32"/>
      <c r="M45" s="32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ht="13" x14ac:dyDescent="0.6">
      <c r="A46" s="32">
        <v>1724</v>
      </c>
      <c r="B46" s="32" t="s">
        <v>95</v>
      </c>
      <c r="C46" s="32" t="s">
        <v>96</v>
      </c>
      <c r="D46" s="32" t="s">
        <v>26</v>
      </c>
      <c r="E46" s="32" t="s">
        <v>18</v>
      </c>
      <c r="F46" s="41">
        <v>28043.68</v>
      </c>
      <c r="G46" s="35">
        <v>35640</v>
      </c>
      <c r="H46" s="35">
        <v>23883</v>
      </c>
      <c r="I46" s="38">
        <f t="shared" ca="1" si="2"/>
        <v>51.92876712328767</v>
      </c>
      <c r="J46" s="38">
        <f t="shared" ca="1" si="3"/>
        <v>19.717808219178082</v>
      </c>
      <c r="K46" s="32"/>
      <c r="L46" s="32"/>
      <c r="M46" s="32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ht="13" x14ac:dyDescent="0.6">
      <c r="A47" s="32">
        <v>1792</v>
      </c>
      <c r="B47" s="32" t="s">
        <v>52</v>
      </c>
      <c r="C47" s="32" t="s">
        <v>53</v>
      </c>
      <c r="D47" s="32" t="s">
        <v>36</v>
      </c>
      <c r="E47" s="32" t="s">
        <v>14</v>
      </c>
      <c r="F47" s="41">
        <v>28859.25</v>
      </c>
      <c r="G47" s="35">
        <v>39440</v>
      </c>
      <c r="H47" s="35">
        <v>25114</v>
      </c>
      <c r="I47" s="38">
        <f t="shared" ca="1" si="2"/>
        <v>48.556164383561644</v>
      </c>
      <c r="J47" s="38">
        <f t="shared" ca="1" si="3"/>
        <v>9.3068493150684937</v>
      </c>
      <c r="K47" s="32"/>
      <c r="L47" s="32"/>
      <c r="M47" s="32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ht="13" x14ac:dyDescent="0.6">
      <c r="A48" s="32">
        <v>1793</v>
      </c>
      <c r="B48" s="32" t="s">
        <v>50</v>
      </c>
      <c r="C48" s="32" t="s">
        <v>51</v>
      </c>
      <c r="D48" s="32" t="s">
        <v>31</v>
      </c>
      <c r="E48" s="32" t="s">
        <v>21</v>
      </c>
      <c r="F48" s="41">
        <v>24179.5</v>
      </c>
      <c r="G48" s="35">
        <v>37971</v>
      </c>
      <c r="H48" s="35">
        <v>28047</v>
      </c>
      <c r="I48" s="38">
        <f t="shared" ca="1" si="2"/>
        <v>40.520547945205479</v>
      </c>
      <c r="J48" s="38">
        <f t="shared" ca="1" si="3"/>
        <v>13.331506849315069</v>
      </c>
      <c r="K48" s="32"/>
      <c r="L48" s="32"/>
      <c r="M48" s="32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ht="13" x14ac:dyDescent="0.6">
      <c r="A49" s="34">
        <v>1794</v>
      </c>
      <c r="B49" s="34" t="s">
        <v>54</v>
      </c>
      <c r="C49" s="34" t="s">
        <v>55</v>
      </c>
      <c r="D49" s="34" t="s">
        <v>26</v>
      </c>
      <c r="E49" s="34" t="s">
        <v>21</v>
      </c>
      <c r="F49" s="42">
        <v>57488.75</v>
      </c>
      <c r="G49" s="36">
        <v>39496</v>
      </c>
      <c r="H49" s="36">
        <v>31703</v>
      </c>
      <c r="I49" s="39">
        <f t="shared" ca="1" si="2"/>
        <v>30.504109589041096</v>
      </c>
      <c r="J49" s="39">
        <f t="shared" ca="1" si="3"/>
        <v>9.1534246575342468</v>
      </c>
      <c r="K49" s="34"/>
      <c r="L49" s="34"/>
      <c r="M49" s="34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ht="13" x14ac:dyDescent="0.6">
      <c r="A50" s="32">
        <v>1814</v>
      </c>
      <c r="B50" s="32" t="s">
        <v>41</v>
      </c>
      <c r="C50" s="32" t="s">
        <v>42</v>
      </c>
      <c r="D50" s="32" t="s">
        <v>17</v>
      </c>
      <c r="E50" s="32" t="s">
        <v>21</v>
      </c>
      <c r="F50" s="41">
        <v>51303.6</v>
      </c>
      <c r="G50" s="35">
        <v>33667</v>
      </c>
      <c r="H50" s="35">
        <v>25474</v>
      </c>
      <c r="I50" s="38">
        <f t="shared" ca="1" si="2"/>
        <v>47.56986301369863</v>
      </c>
      <c r="J50" s="38">
        <f t="shared" ca="1" si="3"/>
        <v>25.123287671232877</v>
      </c>
      <c r="K50" s="32"/>
      <c r="L50" s="32"/>
      <c r="M50" s="32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ht="13" x14ac:dyDescent="0.6">
      <c r="A51" s="34">
        <v>1816</v>
      </c>
      <c r="B51" s="34" t="s">
        <v>39</v>
      </c>
      <c r="C51" s="34" t="s">
        <v>40</v>
      </c>
      <c r="D51" s="34" t="s">
        <v>17</v>
      </c>
      <c r="E51" s="34" t="s">
        <v>21</v>
      </c>
      <c r="F51" s="42">
        <v>35480.400000000001</v>
      </c>
      <c r="G51" s="36">
        <v>37445</v>
      </c>
      <c r="H51" s="36">
        <v>32752</v>
      </c>
      <c r="I51" s="39">
        <f t="shared" ca="1" si="2"/>
        <v>27.63013698630137</v>
      </c>
      <c r="J51" s="39">
        <f t="shared" ca="1" si="3"/>
        <v>14.772602739726027</v>
      </c>
      <c r="K51" s="34"/>
      <c r="L51" s="34"/>
      <c r="M51" s="34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ht="13" x14ac:dyDescent="0.6">
      <c r="A52" s="34">
        <v>1931</v>
      </c>
      <c r="B52" s="34" t="s">
        <v>27</v>
      </c>
      <c r="C52" s="34" t="s">
        <v>28</v>
      </c>
      <c r="D52" s="34" t="s">
        <v>13</v>
      </c>
      <c r="E52" s="34" t="s">
        <v>14</v>
      </c>
      <c r="F52" s="42">
        <v>36101.440000000002</v>
      </c>
      <c r="G52" s="36">
        <v>39984</v>
      </c>
      <c r="H52" s="36">
        <v>31560</v>
      </c>
      <c r="I52" s="39">
        <f t="shared" ca="1" si="2"/>
        <v>30.895890410958906</v>
      </c>
      <c r="J52" s="39">
        <f t="shared" ca="1" si="3"/>
        <v>7.816438356164384</v>
      </c>
      <c r="K52" s="34"/>
      <c r="L52" s="34"/>
      <c r="M52" s="34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ht="13" x14ac:dyDescent="0.6">
      <c r="A53" s="32">
        <v>1960</v>
      </c>
      <c r="B53" s="32" t="s">
        <v>78</v>
      </c>
      <c r="C53" s="32" t="s">
        <v>79</v>
      </c>
      <c r="D53" s="32" t="s">
        <v>13</v>
      </c>
      <c r="E53" s="32" t="s">
        <v>14</v>
      </c>
      <c r="F53" s="41">
        <v>28043.68</v>
      </c>
      <c r="G53" s="35">
        <v>33921</v>
      </c>
      <c r="H53" s="35">
        <v>23823</v>
      </c>
      <c r="I53" s="38">
        <f t="shared" ca="1" si="2"/>
        <v>52.093150684931508</v>
      </c>
      <c r="J53" s="38">
        <f t="shared" ca="1" si="3"/>
        <v>24.427397260273974</v>
      </c>
      <c r="K53" s="32"/>
      <c r="L53" s="32"/>
      <c r="M53" s="32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ht="13" x14ac:dyDescent="0.6">
      <c r="A54" s="32">
        <v>1961</v>
      </c>
      <c r="B54" s="32" t="s">
        <v>27</v>
      </c>
      <c r="C54" s="32" t="s">
        <v>82</v>
      </c>
      <c r="D54" s="32" t="s">
        <v>31</v>
      </c>
      <c r="E54" s="32" t="s">
        <v>21</v>
      </c>
      <c r="F54" s="41">
        <v>27081.040000000001</v>
      </c>
      <c r="G54" s="35">
        <v>39026</v>
      </c>
      <c r="H54" s="35">
        <v>23834</v>
      </c>
      <c r="I54" s="38">
        <f t="shared" ca="1" si="2"/>
        <v>52.063013698630137</v>
      </c>
      <c r="J54" s="38">
        <f t="shared" ca="1" si="3"/>
        <v>10.441095890410958</v>
      </c>
      <c r="K54" s="32"/>
      <c r="L54" s="32"/>
      <c r="M54" s="32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ht="13" x14ac:dyDescent="0.6">
      <c r="A55" s="32">
        <v>1966</v>
      </c>
      <c r="B55" s="32" t="s">
        <v>37</v>
      </c>
      <c r="C55" s="32" t="s">
        <v>38</v>
      </c>
      <c r="D55" s="32" t="s">
        <v>36</v>
      </c>
      <c r="E55" s="32" t="s">
        <v>21</v>
      </c>
      <c r="F55" s="41">
        <v>23239.439999999999</v>
      </c>
      <c r="G55" s="35">
        <v>33559</v>
      </c>
      <c r="H55" s="35">
        <v>25327</v>
      </c>
      <c r="I55" s="38">
        <f t="shared" ca="1" si="2"/>
        <v>47.972602739726028</v>
      </c>
      <c r="J55" s="38">
        <f t="shared" ca="1" si="3"/>
        <v>25.419178082191781</v>
      </c>
      <c r="K55" s="32"/>
      <c r="L55" s="32"/>
      <c r="M55" s="32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ht="13" x14ac:dyDescent="0.6">
      <c r="A56" s="32">
        <v>1967</v>
      </c>
      <c r="B56" s="32" t="s">
        <v>29</v>
      </c>
      <c r="C56" s="32" t="s">
        <v>30</v>
      </c>
      <c r="D56" s="32" t="s">
        <v>31</v>
      </c>
      <c r="E56" s="32" t="s">
        <v>14</v>
      </c>
      <c r="F56" s="41">
        <v>23212.32</v>
      </c>
      <c r="G56" s="35">
        <v>33551</v>
      </c>
      <c r="H56" s="35">
        <v>25338</v>
      </c>
      <c r="I56" s="38">
        <f t="shared" ca="1" si="2"/>
        <v>47.942465753424656</v>
      </c>
      <c r="J56" s="38">
        <f t="shared" ca="1" si="3"/>
        <v>25.44109589041096</v>
      </c>
      <c r="K56" s="32"/>
      <c r="L56" s="32"/>
      <c r="M56" s="32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ht="13" x14ac:dyDescent="0.6">
      <c r="A57" s="34">
        <v>1968</v>
      </c>
      <c r="B57" s="34" t="s">
        <v>43</v>
      </c>
      <c r="C57" s="34" t="s">
        <v>44</v>
      </c>
      <c r="D57" s="34" t="s">
        <v>26</v>
      </c>
      <c r="E57" s="34" t="s">
        <v>14</v>
      </c>
      <c r="F57" s="42">
        <v>35989.199999999997</v>
      </c>
      <c r="G57" s="36">
        <v>33970</v>
      </c>
      <c r="H57" s="36">
        <v>25342</v>
      </c>
      <c r="I57" s="39">
        <f t="shared" ca="1" si="2"/>
        <v>47.93150684931507</v>
      </c>
      <c r="J57" s="39">
        <f t="shared" ca="1" si="3"/>
        <v>24.293150684931508</v>
      </c>
      <c r="K57" s="34"/>
      <c r="L57" s="34"/>
      <c r="M57" s="34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ht="13" x14ac:dyDescent="0.6">
      <c r="A58" s="32">
        <v>1975</v>
      </c>
      <c r="B58" s="32" t="s">
        <v>11</v>
      </c>
      <c r="C58" s="32" t="s">
        <v>12</v>
      </c>
      <c r="D58" s="32" t="s">
        <v>13</v>
      </c>
      <c r="E58" s="32" t="s">
        <v>14</v>
      </c>
      <c r="F58" s="41">
        <v>21887.95</v>
      </c>
      <c r="G58" s="35">
        <v>35557</v>
      </c>
      <c r="H58" s="35">
        <v>25839</v>
      </c>
      <c r="I58" s="38">
        <f t="shared" ca="1" si="2"/>
        <v>46.56986301369863</v>
      </c>
      <c r="J58" s="38">
        <f t="shared" ca="1" si="3"/>
        <v>19.945205479452056</v>
      </c>
      <c r="K58" s="32"/>
      <c r="L58" s="32"/>
      <c r="M58" s="32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ht="13" x14ac:dyDescent="0.6">
      <c r="A59" s="32">
        <v>1976</v>
      </c>
      <c r="B59" s="32" t="s">
        <v>15</v>
      </c>
      <c r="C59" s="32" t="s">
        <v>16</v>
      </c>
      <c r="D59" s="32" t="s">
        <v>17</v>
      </c>
      <c r="E59" s="32" t="s">
        <v>18</v>
      </c>
      <c r="F59" s="41">
        <v>33035.879999999997</v>
      </c>
      <c r="G59" s="35">
        <v>37010</v>
      </c>
      <c r="H59" s="35">
        <v>29137</v>
      </c>
      <c r="I59" s="38">
        <f t="shared" ca="1" si="2"/>
        <v>37.534246575342465</v>
      </c>
      <c r="J59" s="38">
        <f t="shared" ca="1" si="3"/>
        <v>15.964383561643835</v>
      </c>
      <c r="K59" s="32"/>
      <c r="L59" s="32"/>
      <c r="M59" s="32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ht="13" x14ac:dyDescent="0.6">
      <c r="A60" s="34">
        <v>1977</v>
      </c>
      <c r="B60" s="34" t="s">
        <v>62</v>
      </c>
      <c r="C60" s="34" t="s">
        <v>63</v>
      </c>
      <c r="D60" s="34" t="s">
        <v>36</v>
      </c>
      <c r="E60" s="34" t="s">
        <v>14</v>
      </c>
      <c r="F60" s="42">
        <v>30013.62</v>
      </c>
      <c r="G60" s="36">
        <v>36690</v>
      </c>
      <c r="H60" s="36">
        <v>29850</v>
      </c>
      <c r="I60" s="39">
        <f t="shared" ca="1" si="2"/>
        <v>35.580821917808223</v>
      </c>
      <c r="J60" s="39">
        <f t="shared" ca="1" si="3"/>
        <v>16.841095890410958</v>
      </c>
      <c r="K60" s="34"/>
      <c r="L60" s="34"/>
      <c r="M60" s="34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ht="13" x14ac:dyDescent="0.6">
      <c r="A61" s="34">
        <v>1978</v>
      </c>
      <c r="B61" s="34" t="s">
        <v>66</v>
      </c>
      <c r="C61" s="34" t="s">
        <v>67</v>
      </c>
      <c r="D61" s="34" t="s">
        <v>17</v>
      </c>
      <c r="E61" s="34" t="s">
        <v>21</v>
      </c>
      <c r="F61" s="42">
        <v>51878.84</v>
      </c>
      <c r="G61" s="36">
        <v>39452</v>
      </c>
      <c r="H61" s="36">
        <v>33529</v>
      </c>
      <c r="I61" s="39">
        <f t="shared" ca="1" si="2"/>
        <v>25.5013698630137</v>
      </c>
      <c r="J61" s="39">
        <f t="shared" ca="1" si="3"/>
        <v>9.2739726027397253</v>
      </c>
      <c r="K61" s="34"/>
      <c r="L61" s="34"/>
      <c r="M61" s="34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ht="13" x14ac:dyDescent="0.6">
      <c r="A62" s="8">
        <f>MONTH(XEZ62)</f>
        <v>1</v>
      </c>
      <c r="K62" s="32"/>
      <c r="L62" s="32"/>
      <c r="M62" s="3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ht="13" x14ac:dyDescent="0.6">
      <c r="K63" s="32"/>
      <c r="L63" s="32"/>
      <c r="M63" s="32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55000000000000004">
      <c r="K64" s="3"/>
    </row>
    <row r="65" spans="1:14" ht="18.5" x14ac:dyDescent="0.9">
      <c r="A65" s="25" t="s">
        <v>136</v>
      </c>
      <c r="C65" s="32"/>
      <c r="D65" s="32"/>
      <c r="E65" s="32"/>
      <c r="F65" s="32"/>
      <c r="G65" s="32"/>
      <c r="H65" s="35"/>
      <c r="I65" s="32"/>
      <c r="J65" s="32"/>
      <c r="K65" s="32"/>
      <c r="L65" s="32"/>
      <c r="M65" s="32"/>
      <c r="N65"/>
    </row>
    <row r="66" spans="1:14" ht="13" x14ac:dyDescent="0.6">
      <c r="A66"/>
      <c r="B66"/>
      <c r="C66"/>
      <c r="D66"/>
      <c r="E66"/>
      <c r="F66"/>
      <c r="G66"/>
      <c r="H66" s="44"/>
      <c r="I66"/>
      <c r="J66"/>
      <c r="K66"/>
      <c r="L66"/>
      <c r="M66"/>
      <c r="N66"/>
    </row>
    <row r="67" spans="1:14" ht="13" x14ac:dyDescent="0.6">
      <c r="A67"/>
      <c r="B67"/>
      <c r="C67"/>
      <c r="D67"/>
      <c r="E67"/>
      <c r="F67"/>
      <c r="G67"/>
      <c r="H67" s="44"/>
      <c r="I67"/>
      <c r="J67"/>
      <c r="K67"/>
      <c r="L67"/>
      <c r="M67"/>
      <c r="N67"/>
    </row>
    <row r="68" spans="1:14" ht="13" x14ac:dyDescent="0.6">
      <c r="A68"/>
      <c r="B68"/>
      <c r="C68"/>
      <c r="D68"/>
      <c r="E68"/>
      <c r="F68"/>
      <c r="G68"/>
      <c r="H68" s="44"/>
      <c r="I68"/>
      <c r="J68"/>
      <c r="K68"/>
      <c r="L68"/>
      <c r="M68"/>
      <c r="N68"/>
    </row>
    <row r="69" spans="1:14" ht="13" x14ac:dyDescent="0.6">
      <c r="A69"/>
      <c r="B69"/>
      <c r="C69"/>
      <c r="D69"/>
      <c r="E69"/>
      <c r="F69"/>
      <c r="G69"/>
      <c r="H69" s="44"/>
      <c r="I69"/>
      <c r="J69"/>
      <c r="K69"/>
      <c r="L69"/>
      <c r="M69"/>
      <c r="N69"/>
    </row>
    <row r="70" spans="1:14" ht="13" x14ac:dyDescent="0.6">
      <c r="A70"/>
      <c r="B70"/>
      <c r="C70"/>
      <c r="D70"/>
      <c r="E70"/>
      <c r="F70"/>
      <c r="G70"/>
      <c r="H70" s="44"/>
      <c r="I70"/>
      <c r="J70"/>
      <c r="K70"/>
      <c r="L70"/>
      <c r="M70"/>
      <c r="N70"/>
    </row>
    <row r="71" spans="1:14" ht="13" x14ac:dyDescent="0.6">
      <c r="A71"/>
      <c r="B71"/>
      <c r="C71"/>
      <c r="D71"/>
      <c r="E71"/>
      <c r="F71"/>
      <c r="G71"/>
      <c r="H71" s="44"/>
      <c r="I71"/>
      <c r="J71"/>
      <c r="K71"/>
      <c r="L71"/>
      <c r="M71"/>
      <c r="N71"/>
    </row>
    <row r="72" spans="1:14" ht="13" x14ac:dyDescent="0.6">
      <c r="A72"/>
      <c r="B72"/>
      <c r="C72"/>
      <c r="D72"/>
      <c r="E72"/>
      <c r="F72"/>
      <c r="G72"/>
      <c r="H72" s="44"/>
      <c r="I72"/>
      <c r="J72"/>
      <c r="K72"/>
      <c r="L72"/>
      <c r="M72"/>
      <c r="N72"/>
    </row>
    <row r="73" spans="1:14" ht="13" x14ac:dyDescent="0.6">
      <c r="A73"/>
      <c r="B73"/>
      <c r="C73"/>
      <c r="D73"/>
      <c r="E73"/>
      <c r="F73"/>
      <c r="G73"/>
      <c r="H73" s="44"/>
      <c r="I73"/>
      <c r="J73"/>
      <c r="K73"/>
      <c r="L73"/>
      <c r="M73"/>
      <c r="N73"/>
    </row>
    <row r="74" spans="1:14" ht="13" x14ac:dyDescent="0.6">
      <c r="A74"/>
      <c r="B74"/>
      <c r="C74"/>
      <c r="D74"/>
      <c r="E74"/>
      <c r="F74"/>
      <c r="G74"/>
      <c r="H74" s="44"/>
      <c r="I74"/>
      <c r="J74"/>
      <c r="K74"/>
      <c r="L74"/>
      <c r="M74"/>
      <c r="N74"/>
    </row>
    <row r="75" spans="1:14" ht="13" x14ac:dyDescent="0.6">
      <c r="A75"/>
      <c r="B75"/>
      <c r="C75"/>
      <c r="D75"/>
      <c r="E75"/>
      <c r="F75"/>
      <c r="G75"/>
      <c r="H75" s="44"/>
      <c r="I75"/>
      <c r="J75"/>
      <c r="K75"/>
      <c r="L75"/>
      <c r="M75"/>
      <c r="N75"/>
    </row>
    <row r="76" spans="1:14" ht="13" x14ac:dyDescent="0.6">
      <c r="A76"/>
      <c r="B76"/>
      <c r="C76"/>
      <c r="D76"/>
      <c r="E76"/>
      <c r="F76"/>
      <c r="G76"/>
      <c r="H76" s="44"/>
      <c r="I76"/>
      <c r="J76"/>
      <c r="K76"/>
      <c r="L76"/>
      <c r="M76"/>
      <c r="N76"/>
    </row>
    <row r="77" spans="1:14" ht="13" x14ac:dyDescent="0.6">
      <c r="A77"/>
      <c r="B77"/>
      <c r="C77"/>
      <c r="D77"/>
      <c r="E77"/>
      <c r="F77"/>
      <c r="G77"/>
      <c r="H77" s="44"/>
      <c r="I77"/>
      <c r="J77"/>
      <c r="K77"/>
      <c r="L77"/>
      <c r="M77"/>
      <c r="N77"/>
    </row>
    <row r="78" spans="1:14" ht="13" x14ac:dyDescent="0.6">
      <c r="A78"/>
      <c r="B78"/>
      <c r="C78"/>
      <c r="D78"/>
      <c r="E78"/>
      <c r="F78"/>
      <c r="G78"/>
      <c r="H78" s="44"/>
      <c r="I78"/>
      <c r="J78"/>
      <c r="K78"/>
      <c r="L78"/>
      <c r="M78"/>
      <c r="N78"/>
    </row>
    <row r="79" spans="1:14" ht="13" x14ac:dyDescent="0.6">
      <c r="A79"/>
      <c r="B79"/>
      <c r="C79"/>
      <c r="D79"/>
      <c r="E79"/>
      <c r="F79"/>
      <c r="G79"/>
      <c r="H79" s="44"/>
      <c r="I79"/>
      <c r="J79"/>
      <c r="K79"/>
    </row>
    <row r="80" spans="1:14" ht="13" x14ac:dyDescent="0.6">
      <c r="A80"/>
      <c r="B80"/>
      <c r="C80"/>
      <c r="D80"/>
      <c r="E80"/>
      <c r="F80"/>
      <c r="G80"/>
      <c r="H80" s="44"/>
      <c r="I80"/>
      <c r="J80"/>
      <c r="K80"/>
    </row>
    <row r="81" spans="1:11" ht="13" x14ac:dyDescent="0.6">
      <c r="A81"/>
      <c r="B81"/>
      <c r="C81"/>
      <c r="D81"/>
      <c r="E81"/>
      <c r="F81"/>
      <c r="G81"/>
      <c r="H81" s="44"/>
      <c r="I81"/>
      <c r="J81"/>
      <c r="K81"/>
    </row>
    <row r="82" spans="1:11" ht="13" x14ac:dyDescent="0.6">
      <c r="A82"/>
      <c r="B82"/>
      <c r="C82"/>
      <c r="D82"/>
      <c r="E82"/>
      <c r="F82"/>
      <c r="G82"/>
      <c r="H82" s="44"/>
      <c r="I82"/>
      <c r="J82"/>
      <c r="K82"/>
    </row>
    <row r="83" spans="1:11" ht="13" x14ac:dyDescent="0.6">
      <c r="A83"/>
      <c r="B83"/>
      <c r="C83"/>
      <c r="D83"/>
      <c r="E83"/>
      <c r="F83"/>
      <c r="G83"/>
      <c r="H83" s="44"/>
      <c r="I83"/>
      <c r="J83"/>
      <c r="K83"/>
    </row>
    <row r="84" spans="1:11" ht="13" x14ac:dyDescent="0.6">
      <c r="A84"/>
      <c r="B84"/>
      <c r="C84"/>
      <c r="D84"/>
      <c r="E84"/>
      <c r="F84"/>
      <c r="G84"/>
      <c r="H84" s="44"/>
      <c r="I84"/>
      <c r="J84"/>
      <c r="K84"/>
    </row>
    <row r="85" spans="1:11" ht="13" x14ac:dyDescent="0.6">
      <c r="A85"/>
      <c r="B85"/>
      <c r="C85"/>
      <c r="D85"/>
      <c r="E85"/>
      <c r="F85"/>
      <c r="G85"/>
      <c r="H85" s="44"/>
      <c r="I85"/>
      <c r="J85"/>
      <c r="K85"/>
    </row>
    <row r="86" spans="1:11" ht="13" x14ac:dyDescent="0.6">
      <c r="A86"/>
      <c r="B86"/>
      <c r="C86"/>
      <c r="D86"/>
      <c r="E86"/>
      <c r="F86"/>
      <c r="G86"/>
      <c r="H86" s="44"/>
      <c r="I86"/>
      <c r="J86"/>
      <c r="K86"/>
    </row>
    <row r="87" spans="1:11" ht="13" x14ac:dyDescent="0.6">
      <c r="A87"/>
      <c r="B87"/>
      <c r="C87"/>
      <c r="D87"/>
      <c r="E87"/>
      <c r="F87"/>
      <c r="G87"/>
      <c r="H87" s="44"/>
      <c r="I87"/>
      <c r="J87"/>
      <c r="K87"/>
    </row>
    <row r="88" spans="1:11" ht="13" x14ac:dyDescent="0.6">
      <c r="A88"/>
      <c r="B88"/>
      <c r="C88"/>
      <c r="D88"/>
      <c r="E88"/>
      <c r="F88"/>
      <c r="G88"/>
      <c r="H88" s="44"/>
      <c r="I88"/>
      <c r="J88"/>
      <c r="K88"/>
    </row>
    <row r="89" spans="1:11" ht="13" x14ac:dyDescent="0.6">
      <c r="A89"/>
      <c r="B89"/>
      <c r="C89"/>
      <c r="D89"/>
      <c r="E89"/>
      <c r="F89"/>
      <c r="G89"/>
      <c r="H89" s="44"/>
      <c r="I89"/>
      <c r="J89"/>
      <c r="K89"/>
    </row>
    <row r="90" spans="1:11" ht="13" x14ac:dyDescent="0.6">
      <c r="A90"/>
      <c r="B90"/>
      <c r="C90"/>
      <c r="D90"/>
      <c r="E90"/>
      <c r="F90"/>
      <c r="G90"/>
      <c r="H90" s="44"/>
      <c r="I90"/>
      <c r="J90"/>
      <c r="K90"/>
    </row>
    <row r="91" spans="1:11" ht="13" x14ac:dyDescent="0.6">
      <c r="A91"/>
      <c r="B91"/>
      <c r="C91"/>
      <c r="D91"/>
      <c r="E91"/>
      <c r="F91"/>
      <c r="G91"/>
      <c r="H91" s="44"/>
      <c r="I91"/>
      <c r="J91"/>
      <c r="K91"/>
    </row>
    <row r="93" spans="1:11" ht="13" x14ac:dyDescent="0.6">
      <c r="A93" s="9"/>
    </row>
    <row r="94" spans="1:11" ht="13" x14ac:dyDescent="0.6">
      <c r="A94" s="9"/>
    </row>
  </sheetData>
  <sortState ref="A8:M61">
    <sortCondition ref="A8:A61"/>
  </sortState>
  <phoneticPr fontId="4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Q_1">
                <anchor moveWithCells="1" sizeWithCells="1">
                  <from>
                    <xdr:col>1</xdr:col>
                    <xdr:colOff>0</xdr:colOff>
                    <xdr:row>66</xdr:row>
                    <xdr:rowOff>12700</xdr:rowOff>
                  </from>
                  <to>
                    <xdr:col>4</xdr:col>
                    <xdr:colOff>0</xdr:colOff>
                    <xdr:row>70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Button2_Q_2">
                <anchor moveWithCells="1" sizeWithCells="1">
                  <from>
                    <xdr:col>1</xdr:col>
                    <xdr:colOff>0</xdr:colOff>
                    <xdr:row>72</xdr:row>
                    <xdr:rowOff>0</xdr:rowOff>
                  </from>
                  <to>
                    <xdr:col>4</xdr:col>
                    <xdr:colOff>19050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Black">
                <anchor moveWithCells="1" sizeWithCells="1">
                  <from>
                    <xdr:col>1</xdr:col>
                    <xdr:colOff>38100</xdr:colOff>
                    <xdr:row>77</xdr:row>
                    <xdr:rowOff>12700</xdr:rowOff>
                  </from>
                  <to>
                    <xdr:col>3</xdr:col>
                    <xdr:colOff>781050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BlueQ_4">
                <anchor moveWithCells="1" sizeWithCells="1">
                  <from>
                    <xdr:col>1</xdr:col>
                    <xdr:colOff>0</xdr:colOff>
                    <xdr:row>81</xdr:row>
                    <xdr:rowOff>152400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Q_5">
                <anchor moveWithCells="1" sizeWithCells="1">
                  <from>
                    <xdr:col>0</xdr:col>
                    <xdr:colOff>641350</xdr:colOff>
                    <xdr:row>87</xdr:row>
                    <xdr:rowOff>12700</xdr:rowOff>
                  </from>
                  <to>
                    <xdr:col>3</xdr:col>
                    <xdr:colOff>742950</xdr:colOff>
                    <xdr:row>91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Q_6">
                <anchor moveWithCells="1" sizeWithCells="1">
                  <from>
                    <xdr:col>4</xdr:col>
                    <xdr:colOff>317500</xdr:colOff>
                    <xdr:row>66</xdr:row>
                    <xdr:rowOff>31750</xdr:rowOff>
                  </from>
                  <to>
                    <xdr:col>7</xdr:col>
                    <xdr:colOff>342900</xdr:colOff>
                    <xdr:row>70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Sort_Q9">
                <anchor moveWithCells="1" sizeWithCells="1">
                  <from>
                    <xdr:col>4</xdr:col>
                    <xdr:colOff>355600</xdr:colOff>
                    <xdr:row>82</xdr:row>
                    <xdr:rowOff>88900</xdr:rowOff>
                  </from>
                  <to>
                    <xdr:col>7</xdr:col>
                    <xdr:colOff>381000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Q_8">
                <anchor moveWithCells="1" sizeWithCells="1">
                  <from>
                    <xdr:col>4</xdr:col>
                    <xdr:colOff>361950</xdr:colOff>
                    <xdr:row>77</xdr:row>
                    <xdr:rowOff>31750</xdr:rowOff>
                  </from>
                  <to>
                    <xdr:col>7</xdr:col>
                    <xdr:colOff>393700</xdr:colOff>
                    <xdr:row>81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Q_7">
                <anchor moveWithCells="1" sizeWithCells="1">
                  <from>
                    <xdr:col>4</xdr:col>
                    <xdr:colOff>393700</xdr:colOff>
                    <xdr:row>71</xdr:row>
                    <xdr:rowOff>133350</xdr:rowOff>
                  </from>
                  <to>
                    <xdr:col>7</xdr:col>
                    <xdr:colOff>419100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Sort_ID_Q10">
                <anchor moveWithCells="1" sizeWithCells="1">
                  <from>
                    <xdr:col>4</xdr:col>
                    <xdr:colOff>304800</xdr:colOff>
                    <xdr:row>87</xdr:row>
                    <xdr:rowOff>114300</xdr:rowOff>
                  </from>
                  <to>
                    <xdr:col>7</xdr:col>
                    <xdr:colOff>336550</xdr:colOff>
                    <xdr:row>92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Button 18">
              <controlPr defaultSize="0" print="0" autoFill="0" autoPict="0" macro="[0]!_xludf.CLear">
                <anchor moveWithCells="1" sizeWithCells="1">
                  <from>
                    <xdr:col>9</xdr:col>
                    <xdr:colOff>527050</xdr:colOff>
                    <xdr:row>68</xdr:row>
                    <xdr:rowOff>95250</xdr:rowOff>
                  </from>
                  <to>
                    <xdr:col>11</xdr:col>
                    <xdr:colOff>679450</xdr:colOff>
                    <xdr:row>71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Button 19">
              <controlPr defaultSize="0" print="0" autoFill="0" autoPict="0" macro="[0]!Clear_contents">
                <anchor moveWithCells="1" sizeWithCells="1">
                  <from>
                    <xdr:col>10</xdr:col>
                    <xdr:colOff>190500</xdr:colOff>
                    <xdr:row>73</xdr:row>
                    <xdr:rowOff>0</xdr:rowOff>
                  </from>
                  <to>
                    <xdr:col>12</xdr:col>
                    <xdr:colOff>165100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Button 20">
              <controlPr defaultSize="0" print="0" autoFill="0" autoPict="0" macro="[0]!white_font">
                <anchor moveWithCells="1" sizeWithCells="1">
                  <from>
                    <xdr:col>10</xdr:col>
                    <xdr:colOff>228600</xdr:colOff>
                    <xdr:row>78</xdr:row>
                    <xdr:rowOff>95250</xdr:rowOff>
                  </from>
                  <to>
                    <xdr:col>12</xdr:col>
                    <xdr:colOff>469900</xdr:colOff>
                    <xdr:row>82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M30"/>
  <sheetViews>
    <sheetView topLeftCell="A13" zoomScaleNormal="100" workbookViewId="0">
      <selection activeCell="B19" sqref="B19"/>
    </sheetView>
  </sheetViews>
  <sheetFormatPr defaultRowHeight="13" x14ac:dyDescent="0.6"/>
  <cols>
    <col min="1" max="1" width="8.81640625" customWidth="1"/>
    <col min="2" max="2" width="15.26953125" customWidth="1"/>
    <col min="3" max="3" width="10.1796875" customWidth="1"/>
    <col min="4" max="4" width="13.26953125" customWidth="1"/>
    <col min="6" max="6" width="8.26953125" customWidth="1"/>
    <col min="9" max="9" width="7.453125" customWidth="1"/>
    <col min="10" max="10" width="8.81640625" customWidth="1"/>
    <col min="11" max="11" width="13.1796875" customWidth="1"/>
    <col min="12" max="12" width="12.54296875" customWidth="1"/>
    <col min="13" max="13" width="11.7265625" customWidth="1"/>
  </cols>
  <sheetData>
    <row r="3" spans="1:13" ht="19.5" x14ac:dyDescent="1.05">
      <c r="A3" s="16" t="s">
        <v>134</v>
      </c>
    </row>
    <row r="4" spans="1:13" x14ac:dyDescent="0.6">
      <c r="A4" s="15"/>
    </row>
    <row r="5" spans="1:13" x14ac:dyDescent="0.6">
      <c r="A5" s="10"/>
    </row>
    <row r="6" spans="1:13" x14ac:dyDescent="0.6">
      <c r="A6" s="9" t="s">
        <v>124</v>
      </c>
      <c r="B6" s="23">
        <f ca="1">DCOUNTA(Database!A7:M61,Database!A7,Queries!A9:M10)/COUNTA(Database!A7:M61)</f>
        <v>0</v>
      </c>
    </row>
    <row r="7" spans="1:13" x14ac:dyDescent="0.6">
      <c r="A7" s="9"/>
    </row>
    <row r="8" spans="1:13" x14ac:dyDescent="0.6">
      <c r="A8" s="9"/>
    </row>
    <row r="9" spans="1:13" ht="25.5" customHeight="1" x14ac:dyDescent="0.6">
      <c r="A9" s="12" t="s">
        <v>1</v>
      </c>
      <c r="B9" s="19" t="s">
        <v>2</v>
      </c>
      <c r="C9" s="19" t="s">
        <v>3</v>
      </c>
      <c r="D9" s="19" t="s">
        <v>4</v>
      </c>
      <c r="E9" s="19" t="s">
        <v>5</v>
      </c>
      <c r="F9" s="20" t="s">
        <v>6</v>
      </c>
      <c r="G9" s="21" t="s">
        <v>7</v>
      </c>
      <c r="H9" s="22" t="s">
        <v>8</v>
      </c>
      <c r="I9" s="13" t="s">
        <v>9</v>
      </c>
      <c r="J9" s="13" t="s">
        <v>10</v>
      </c>
      <c r="K9" s="14" t="s">
        <v>128</v>
      </c>
      <c r="L9" s="14" t="s">
        <v>129</v>
      </c>
      <c r="M9" s="14" t="s">
        <v>130</v>
      </c>
    </row>
    <row r="10" spans="1:13" x14ac:dyDescent="0.6">
      <c r="D10" t="s">
        <v>139</v>
      </c>
      <c r="F10" t="s">
        <v>138</v>
      </c>
    </row>
    <row r="14" spans="1:13" x14ac:dyDescent="0.6">
      <c r="A14" s="17" t="s">
        <v>132</v>
      </c>
    </row>
    <row r="15" spans="1:13" x14ac:dyDescent="0.6">
      <c r="A15" s="9"/>
    </row>
    <row r="16" spans="1:13" x14ac:dyDescent="0.6">
      <c r="A16" s="9"/>
    </row>
    <row r="17" spans="1:13" x14ac:dyDescent="0.6">
      <c r="A17" s="9"/>
    </row>
    <row r="18" spans="1:13" x14ac:dyDescent="0.6">
      <c r="A18" s="9" t="s">
        <v>125</v>
      </c>
      <c r="B18" s="11">
        <f>DCOUNT(Database!A7:M61,Database!A7,Queries!A21:M22)</f>
        <v>44</v>
      </c>
    </row>
    <row r="19" spans="1:13" x14ac:dyDescent="0.6">
      <c r="A19" s="9"/>
    </row>
    <row r="20" spans="1:13" x14ac:dyDescent="0.6">
      <c r="A20" s="9"/>
    </row>
    <row r="21" spans="1:13" ht="21.75" x14ac:dyDescent="0.6">
      <c r="A21" s="12" t="s">
        <v>1</v>
      </c>
      <c r="B21" s="19" t="s">
        <v>2</v>
      </c>
      <c r="C21" s="19" t="s">
        <v>3</v>
      </c>
      <c r="D21" s="19" t="s">
        <v>4</v>
      </c>
      <c r="E21" s="19" t="s">
        <v>5</v>
      </c>
      <c r="F21" s="20" t="s">
        <v>6</v>
      </c>
      <c r="G21" s="21" t="s">
        <v>7</v>
      </c>
      <c r="H21" s="22" t="s">
        <v>8</v>
      </c>
      <c r="I21" s="13" t="s">
        <v>9</v>
      </c>
      <c r="J21" s="13" t="s">
        <v>10</v>
      </c>
      <c r="K21" s="14" t="s">
        <v>128</v>
      </c>
      <c r="L21" s="14" t="s">
        <v>129</v>
      </c>
      <c r="M21" s="14" t="s">
        <v>130</v>
      </c>
    </row>
    <row r="22" spans="1:13" x14ac:dyDescent="0.6">
      <c r="G22" t="s">
        <v>140</v>
      </c>
    </row>
    <row r="26" spans="1:13" x14ac:dyDescent="0.6">
      <c r="A26" s="17" t="s">
        <v>133</v>
      </c>
    </row>
    <row r="29" spans="1:13" x14ac:dyDescent="0.6">
      <c r="A29" s="9"/>
    </row>
    <row r="30" spans="1:13" x14ac:dyDescent="0.6">
      <c r="A30" s="9"/>
    </row>
  </sheetData>
  <phoneticPr fontId="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_1">
                <anchor moveWithCells="1" sizeWithCells="1">
                  <from>
                    <xdr:col>0</xdr:col>
                    <xdr:colOff>88900</xdr:colOff>
                    <xdr:row>11</xdr:row>
                    <xdr:rowOff>31750</xdr:rowOff>
                  </from>
                  <to>
                    <xdr:col>3</xdr:col>
                    <xdr:colOff>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Q_2">
                <anchor moveWithCells="1" sizeWithCells="1">
                  <from>
                    <xdr:col>0</xdr:col>
                    <xdr:colOff>57150</xdr:colOff>
                    <xdr:row>23</xdr:row>
                    <xdr:rowOff>12700</xdr:rowOff>
                  </from>
                  <to>
                    <xdr:col>2</xdr:col>
                    <xdr:colOff>666750</xdr:colOff>
                    <xdr:row>28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Database</vt:lpstr>
      <vt:lpstr>Queries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LP-1</dc:title>
  <dc:subject/>
  <dc:creator>B Gupta</dc:creator>
  <cp:keywords/>
  <dc:description/>
  <cp:lastModifiedBy>Dylan Corbus</cp:lastModifiedBy>
  <cp:lastPrinted>1997-04-30T22:09:23Z</cp:lastPrinted>
  <dcterms:created xsi:type="dcterms:W3CDTF">1997-04-30T22:03:07Z</dcterms:created>
  <dcterms:modified xsi:type="dcterms:W3CDTF">2017-04-12T14:36:25Z</dcterms:modified>
</cp:coreProperties>
</file>